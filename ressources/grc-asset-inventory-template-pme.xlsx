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5"/>
    <sheet name="Mode d'emploi - Sommaire et mod" sheetId="2" r:id="rId6"/>
    <sheet name="1. Inventaire des actifs - Inve" sheetId="3" r:id="rId7"/>
    <sheet name="2. Grille de Scoring - Grille d" sheetId="4" r:id="rId8"/>
    <sheet name="3. Mapping des risques - Mappin"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<sst xmlns="http://schemas.openxmlformats.org/spreadsheetml/2006/main" uniqueCount="205">
  <si>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</si>
  <si>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</si>
  <si>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</si>
  <si>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</si>
  <si>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Résumé de l’exportation</t>
  </si>
  <si>
    <t>Tableau 1</t>
  </si>
  <si>
    <t>Mode d'emploi</t>
  </si>
  <si>
    <t>Sommaire et mode d’emploi</t>
  </si>
  <si>
    <r>
      <rPr>
        <u val="single"/>
        <sz val="12"/>
        <color indexed="11"/>
        <rFont val="Helvetica Neue"/>
      </rPr>
      <t>Mode d'emploi - Sommaire et mod</t>
    </r>
  </si>
  <si>
    <t>1. Inventaire des actifs</t>
  </si>
  <si>
    <t>Inventaire des actifs et Matrice des Risques 3*3 - Adapté PME</t>
  </si>
  <si>
    <r>
      <rPr>
        <u val="single"/>
        <sz val="12"/>
        <color indexed="11"/>
        <rFont val="Helvetica Neue"/>
      </rPr>
      <t>1. Inventaire des actifs - Inve</t>
    </r>
  </si>
  <si>
    <t>2. Grille de Scoring</t>
  </si>
  <si>
    <t>Grille de Scoring PME - Critères d’Impact, Probabilité et Risque+ Décisions de Traitement</t>
  </si>
  <si>
    <r>
      <rPr>
        <u val="single"/>
        <sz val="12"/>
        <color indexed="11"/>
        <rFont val="Helvetica Neue"/>
      </rPr>
      <t>2. Grille de Scoring - Grille d</t>
    </r>
  </si>
  <si>
    <t>3. Mapping des risques</t>
  </si>
  <si>
    <t>Mapping des risques - Adapté PME: Top Risques Identifiés</t>
  </si>
  <si>
    <r>
      <rPr>
        <u val="single"/>
        <sz val="12"/>
        <color indexed="11"/>
        <rFont val="Helvetica Neue"/>
      </rPr>
      <t>3. Mapping des risques - Mappin</t>
    </r>
  </si>
  <si>
    <t>Mode d'emploi - Sommaire et mod</t>
  </si>
  <si>
    <t>Outil pour cartographier les actifs et identifier les priorités de risque (PME)
Résultat : une vision claire des actifs critiques et des priorités de traitement des risques</t>
  </si>
  <si>
    <t>Démarche globale</t>
  </si>
  <si>
    <r>
      <rPr>
        <b val="1"/>
        <sz val="10"/>
        <color indexed="8"/>
        <rFont val="Arial"/>
      </rPr>
      <t xml:space="preserve">- Comprendre objectifs entreprise et services
</t>
    </r>
    <r>
      <rPr>
        <b val="1"/>
        <sz val="10"/>
        <color indexed="8"/>
        <rFont val="Arial"/>
      </rPr>
      <t xml:space="preserve">- Identifier parties prenantes clés
</t>
    </r>
    <r>
      <rPr>
        <b val="1"/>
        <sz val="10"/>
        <color indexed="8"/>
        <rFont val="Arial"/>
      </rPr>
      <t xml:space="preserve">- Définir périmètre (scope)
</t>
    </r>
    <r>
      <rPr>
        <b val="1"/>
        <sz val="10"/>
        <color indexed="8"/>
        <rFont val="Arial"/>
      </rPr>
      <t>- Appliquer triade : Entreprise / Process / Personne (</t>
    </r>
    <r>
      <rPr>
        <b val="1"/>
        <i val="1"/>
        <sz val="10"/>
        <color indexed="8"/>
        <rFont val="Arial"/>
      </rPr>
      <t>approche inspirée du principe People · Process · Technology, largement utilisé en cybersécurité, notamment dans les démarches alignées avec le NIST CSF, adaptée au contexte PME</t>
    </r>
    <r>
      <rPr>
        <b val="1"/>
        <sz val="10"/>
        <color indexed="8"/>
        <rFont val="Arial"/>
      </rPr>
      <t xml:space="preserve">)
</t>
    </r>
  </si>
  <si>
    <t>Sommaire</t>
  </si>
  <si>
    <t>Fiche</t>
  </si>
  <si>
    <t>Objectif</t>
  </si>
  <si>
    <t>Mode d’emploi</t>
  </si>
  <si>
    <r>
      <rPr>
        <u val="single"/>
        <sz val="10"/>
        <color indexed="8"/>
        <rFont val="Arial"/>
      </rPr>
      <t>1. Inventaire des actifs</t>
    </r>
  </si>
  <si>
    <t>Inventaire de tous les actifs de l’entreprise concernés par l’étendue du l’audit (cf. document de cadrage ou scope), les relations avec les personnes et les autres actifs ainsi que leur exposition aux risques, pour évaluer les actifs les plus à risques ou les plus vitaux.</t>
  </si>
  <si>
    <r>
      <rPr>
        <sz val="10"/>
        <color indexed="8"/>
        <rFont val="Arial"/>
      </rPr>
      <t xml:space="preserve">Lister les actifs de l’entreprise selon les types
</t>
    </r>
    <r>
      <rPr>
        <sz val="10"/>
        <color indexed="8"/>
        <rFont val="Arial"/>
      </rPr>
      <t xml:space="preserve">Ajouter pour chacun le personne responsable de cet actif, son type d’exposition aux attaques et les dépendances avec d’autres actifs
</t>
    </r>
    <r>
      <rPr>
        <sz val="10"/>
        <color indexed="8"/>
        <rFont val="Arial"/>
      </rPr>
      <t>Evaluer Impact et Probabilité d’une attaque sur cet actif (voir 2.): le score se calcule immédiatement</t>
    </r>
  </si>
  <si>
    <r>
      <rPr>
        <u val="single"/>
        <sz val="10"/>
        <color indexed="8"/>
        <rFont val="Arial"/>
      </rPr>
      <t>2. Grille de scoring</t>
    </r>
  </si>
  <si>
    <t>Méthode pour évaluer l’impact et la probabilité d’une attaque, ainsi que le niveau de criticité et l’arbitrage des actions à mettre en place. Risques est mesuré en termes d’impact business, relationnel et réglementaire.</t>
  </si>
  <si>
    <r>
      <rPr>
        <sz val="10"/>
        <color indexed="8"/>
        <rFont val="Arial"/>
      </rPr>
      <t xml:space="preserve">Utiliser les grilles pour évaluer niveau d’impact et probabilité d’attaque pour chaque actif (1. Inventaire des actifs)
</t>
    </r>
    <r>
      <rPr>
        <sz val="10"/>
        <color indexed="8"/>
        <rFont val="Arial"/>
      </rPr>
      <t>Utiliser à la fois le score de risque et le niveau de risques assumé pour décision de traitement (3. Mapping des risques): un risque peut être évalué comme modéré mais le niveau de risque assumé peut être restreint menant à une plus haute priorisation de la mise en place de procédure de rémédiation.</t>
    </r>
  </si>
  <si>
    <r>
      <rPr>
        <u val="single"/>
        <sz val="10"/>
        <color indexed="8"/>
        <rFont val="Arial"/>
      </rPr>
      <t>3. Mapping des risques</t>
    </r>
  </si>
  <si>
    <t>Evaluer les actifs les plus exposés et/ou dont l’entreprise ne peut assumer de risques pour prise de décision de traitement de ces risques.</t>
  </si>
  <si>
    <r>
      <rPr>
        <sz val="10"/>
        <color indexed="8"/>
        <rFont val="Arial"/>
      </rPr>
      <t xml:space="preserve">- Evaluer des actifs les plus exposés aux risques et dont le niveau assumé de risque est restreint 
</t>
    </r>
    <r>
      <rPr>
        <sz val="10"/>
        <color indexed="8"/>
        <rFont val="Arial"/>
      </rPr>
      <t xml:space="preserve">Mise en avant des menaces et vecteurs d’attaque les plus fréquentes pour cet actif
</t>
    </r>
    <r>
      <rPr>
        <sz val="10"/>
        <color indexed="8"/>
        <rFont val="Arial"/>
      </rPr>
      <t>Recommandation de traitement du risque en termes de priorisation et délai</t>
    </r>
  </si>
  <si>
    <t>Disclaimer</t>
  </si>
  <si>
    <r>
      <rPr>
        <sz val="10"/>
        <color indexed="8"/>
        <rFont val="Arial"/>
      </rPr>
      <t xml:space="preserve">Outil de travail pour audit GRC de petites PME: inventaire des actifs, grille de cotation des risques (3*3) et mapping des risques. Outil non contractuel ne remplaçant pas le recours à des professionnels.
</t>
    </r>
    <r>
      <rPr>
        <sz val="10"/>
        <color indexed="8"/>
        <rFont val="Arial"/>
      </rPr>
      <t xml:space="preserve">A noter: des exemples sont fournis pour illustrer la démarche et les choix possibles.
</t>
    </r>
    <r>
      <rPr>
        <sz val="10"/>
        <color indexed="8"/>
        <rFont val="Arial"/>
      </rPr>
      <t xml:space="preserve">
</t>
    </r>
    <r>
      <rPr>
        <sz val="12"/>
        <color indexed="8"/>
        <rFont val="Times Roman"/>
      </rPr>
      <t xml:space="preserve">Licence : CC BY 4.0 — Attribution : Solène Figueiredo, projet </t>
    </r>
    <r>
      <rPr>
        <i val="1"/>
        <sz val="12"/>
        <color indexed="8"/>
        <rFont val="Times Roman"/>
      </rPr>
      <t>grc-pme-fictive</t>
    </r>
  </si>
  <si>
    <t>1. Inventaire des actifs - Inve</t>
  </si>
  <si>
    <t>Id</t>
  </si>
  <si>
    <t>Actif</t>
  </si>
  <si>
    <t>Type</t>
  </si>
  <si>
    <t>Responsable</t>
  </si>
  <si>
    <t>Exposition</t>
  </si>
  <si>
    <t>Dépendances critiques</t>
  </si>
  <si>
    <t>Impact (1 - 3)</t>
  </si>
  <si>
    <t>Probabilité (1-3)</t>
  </si>
  <si>
    <t>Score de risque</t>
  </si>
  <si>
    <t>N. id.</t>
  </si>
  <si>
    <t>Nom</t>
  </si>
  <si>
    <r>
      <rPr>
        <i val="1"/>
        <sz val="10"/>
        <color indexed="8"/>
        <rFont val="Arial"/>
      </rPr>
      <t xml:space="preserve">Applicatif
</t>
    </r>
    <r>
      <rPr>
        <i val="1"/>
        <sz val="10"/>
        <color indexed="8"/>
        <rFont val="Arial"/>
      </rPr>
      <t xml:space="preserve">Infrastructure
</t>
    </r>
    <r>
      <rPr>
        <i val="1"/>
        <sz val="10"/>
        <color indexed="8"/>
        <rFont val="Arial"/>
      </rPr>
      <t xml:space="preserve">Donnée
</t>
    </r>
    <r>
      <rPr>
        <i val="1"/>
        <sz val="10"/>
        <color indexed="8"/>
        <rFont val="Arial"/>
      </rPr>
      <t>Humain</t>
    </r>
  </si>
  <si>
    <t>Personne / équipe responsable du fonctionnement de l’actif</t>
  </si>
  <si>
    <r>
      <rPr>
        <i val="1"/>
        <sz val="10"/>
        <color indexed="8"/>
        <rFont val="Arial"/>
      </rPr>
      <t xml:space="preserve">Interne
</t>
    </r>
    <r>
      <rPr>
        <i val="1"/>
        <sz val="10"/>
        <color indexed="8"/>
        <rFont val="Arial"/>
      </rPr>
      <t xml:space="preserve">Restreinte
</t>
    </r>
    <r>
      <rPr>
        <i val="1"/>
        <sz val="10"/>
        <color indexed="8"/>
        <rFont val="Arial"/>
      </rPr>
      <t>Externe</t>
    </r>
  </si>
  <si>
    <r>
      <rPr>
        <i val="1"/>
        <sz val="10"/>
        <color indexed="8"/>
        <rFont val="Arial"/>
      </rPr>
      <t xml:space="preserve">Dépend de (upstream)
</t>
    </r>
    <r>
      <rPr>
        <i val="1"/>
        <sz val="10"/>
        <color indexed="8"/>
        <rFont val="Arial"/>
      </rPr>
      <t>Impacte (downstream)</t>
    </r>
  </si>
  <si>
    <r>
      <rPr>
        <i val="1"/>
        <sz val="10"/>
        <color indexed="8"/>
        <rFont val="Arial"/>
      </rPr>
      <t xml:space="preserve">1: faible
</t>
    </r>
    <r>
      <rPr>
        <i val="1"/>
        <sz val="10"/>
        <color indexed="8"/>
        <rFont val="Arial"/>
      </rPr>
      <t xml:space="preserve">2: moyen
</t>
    </r>
    <r>
      <rPr>
        <i val="1"/>
        <sz val="10"/>
        <color indexed="8"/>
        <rFont val="Arial"/>
      </rPr>
      <t xml:space="preserve">3: critique
</t>
    </r>
    <r>
      <rPr>
        <i val="1"/>
        <sz val="10"/>
        <color indexed="8"/>
        <rFont val="Arial"/>
      </rPr>
      <t xml:space="preserve">Déf: </t>
    </r>
    <r>
      <rPr>
        <i val="1"/>
        <u val="single"/>
        <sz val="10"/>
        <color indexed="8"/>
        <rFont val="Arial"/>
      </rPr>
      <t>2. Grille de Scoring</t>
    </r>
  </si>
  <si>
    <r>
      <rPr>
        <sz val="10"/>
        <color indexed="8"/>
        <rFont val="Arial"/>
      </rPr>
      <t xml:space="preserve">- 1–2: acceptable 
</t>
    </r>
    <r>
      <rPr>
        <sz val="10"/>
        <color indexed="8"/>
        <rFont val="Arial"/>
      </rPr>
      <t xml:space="preserve">- 3–5: remédiation sous 3 mois 
</t>
    </r>
    <r>
      <rPr>
        <sz val="10"/>
        <color indexed="8"/>
        <rFont val="Arial"/>
      </rPr>
      <t xml:space="preserve">- 6–9: correction dans la semaine
</t>
    </r>
    <r>
      <rPr>
        <i val="1"/>
        <sz val="10"/>
        <color indexed="8"/>
        <rFont val="Arial"/>
      </rPr>
      <t xml:space="preserve">Déf: </t>
    </r>
    <r>
      <rPr>
        <i val="1"/>
        <u val="single"/>
        <sz val="10"/>
        <color indexed="8"/>
        <rFont val="Arial"/>
      </rPr>
      <t>2. Grille de Scoring</t>
    </r>
  </si>
  <si>
    <t>Votre 1er actif</t>
  </si>
  <si>
    <t>App Mobile B2C</t>
  </si>
  <si>
    <t>Applicatif</t>
  </si>
  <si>
    <t>Responsable Produit</t>
  </si>
  <si>
    <t>Externe</t>
  </si>
  <si>
    <t>BDD patients, APIs</t>
  </si>
  <si>
    <t>WebApp B2C</t>
  </si>
  <si>
    <t>Plateforme B2B</t>
  </si>
  <si>
    <t>Restreinte</t>
  </si>
  <si>
    <t>BDD praticiens, APIs</t>
  </si>
  <si>
    <t>Hébergement</t>
  </si>
  <si>
    <t>Infrastructure</t>
  </si>
  <si>
    <t>RSSI</t>
  </si>
  <si>
    <t>Systèmes CHU, APIs</t>
  </si>
  <si>
    <t>APIs externes</t>
  </si>
  <si>
    <t>DevOps</t>
  </si>
  <si>
    <t>Toutes apps, BDD</t>
  </si>
  <si>
    <t>Interconnexion système tiers (CHU)</t>
  </si>
  <si>
    <t>CHU, Stripe, Labos</t>
  </si>
  <si>
    <t>Équipement routage/sécurité</t>
  </si>
  <si>
    <t>Interne</t>
  </si>
  <si>
    <t>Tout le réseau</t>
  </si>
  <si>
    <t>Base de données clients</t>
  </si>
  <si>
    <t>App, Plateforme B2B</t>
  </si>
  <si>
    <t>Poste de travail</t>
  </si>
  <si>
    <t>RH</t>
  </si>
  <si>
    <t>Réseau entreprise</t>
  </si>
  <si>
    <t>Imprimante</t>
  </si>
  <si>
    <t>Thermostat connecté</t>
  </si>
  <si>
    <t>Caméra entrée/sortie</t>
  </si>
  <si>
    <t>Données personnelles patient</t>
  </si>
  <si>
    <t>Donnée</t>
  </si>
  <si>
    <t>DPO</t>
  </si>
  <si>
    <t>App, WebApp, BDD</t>
  </si>
  <si>
    <t>Données de santé patient</t>
  </si>
  <si>
    <t>App, WebApp, CHU, BDD</t>
  </si>
  <si>
    <t>Données de paiement patient</t>
  </si>
  <si>
    <t>App, Stripe</t>
  </si>
  <si>
    <t>Données praticiens</t>
  </si>
  <si>
    <t>Direction (PDG/COO)</t>
  </si>
  <si>
    <t>Humain</t>
  </si>
  <si>
    <t>Direction</t>
  </si>
  <si>
    <t>Tous les actifs</t>
  </si>
  <si>
    <t>SI complet</t>
  </si>
  <si>
    <t>Données, registres</t>
  </si>
  <si>
    <t>Apps, APIs</t>
  </si>
  <si>
    <t>Infrastructure complète</t>
  </si>
  <si>
    <t>Autre employé</t>
  </si>
  <si>
    <t>Postes de travail</t>
  </si>
  <si>
    <t>Utilisateur B2C</t>
  </si>
  <si>
    <t>App, WebApp, Stripe</t>
  </si>
  <si>
    <t>Utilisateur B2B</t>
  </si>
  <si>
    <t>2. Grille de Scoring - Grille d</t>
  </si>
  <si>
    <t>CRITÈRES D'IMPACT</t>
  </si>
  <si>
    <t>Score</t>
  </si>
  <si>
    <t>Niveau</t>
  </si>
  <si>
    <t>Définition</t>
  </si>
  <si>
    <t>Exemple PME santé</t>
  </si>
  <si>
    <t>Faible</t>
  </si>
  <si>
    <t>Conséquence limitée, sans effet sur le fonctionnement</t>
  </si>
  <si>
    <t>Imprimante hors service</t>
  </si>
  <si>
    <t>Modéré</t>
  </si>
  <si>
    <t>Perturbation partielle, impact métier limité</t>
  </si>
  <si>
    <t>Plateforme B2B indisponible 1h</t>
  </si>
  <si>
    <t>Critique</t>
  </si>
  <si>
    <t>Conséquence importante, effet négatif sur le fonctionnement</t>
  </si>
  <si>
    <t>Fuite de données de santé patients</t>
  </si>
  <si>
    <t>CRITÈRES DE PROBABILITE</t>
  </si>
  <si>
    <t>Critères objectifs</t>
  </si>
  <si>
    <t>Accès interne uniquement + contrôles forts en place</t>
  </si>
  <si>
    <t>Poste de travail sur réseau cloisonné</t>
  </si>
  <si>
    <t>Modérée</t>
  </si>
  <si>
    <t>Exposé Internet OU contrôles partiels / supposés</t>
  </si>
  <si>
    <t>API avec authentification basique</t>
  </si>
  <si>
    <t>Élevée</t>
  </si>
  <si>
    <t>Exposé Internet + contrôles faibles ou absents</t>
  </si>
  <si>
    <t>App publique sans WAF ni monitoring</t>
  </si>
  <si>
    <t>SCORE DE RISQUE</t>
  </si>
  <si>
    <t>GRILLE DE COTATION (Impact × Probabilité)</t>
  </si>
  <si>
    <t>Délai de traitement</t>
  </si>
  <si>
    <t>1 – 2</t>
  </si>
  <si>
    <t>Acceptable</t>
  </si>
  <si>
    <t>3 – 5</t>
  </si>
  <si>
    <t>Remédiation sous 3 mois</t>
  </si>
  <si>
    <t>Haut</t>
  </si>
  <si>
    <t>6 – 9</t>
  </si>
  <si>
    <t>Correction dans la semaine</t>
  </si>
  <si>
    <t>DÉCISIONS DE TRAITEMENT DU RISQUE</t>
  </si>
  <si>
    <t>Décision</t>
  </si>
  <si>
    <t>Quand l'utiliser</t>
  </si>
  <si>
    <t xml:space="preserve"> √     Accepté</t>
  </si>
  <si>
    <t>Le risque est connu et assumé</t>
  </si>
  <si>
    <t>Coût remédiation &gt; impact réel</t>
  </si>
  <si>
    <t>Interconnexion CHU (systèmes historiques)</t>
  </si>
  <si>
    <t>&gt;&gt;   Réduit</t>
  </si>
  <si>
    <t>Des mesures réduisent l'exposition</t>
  </si>
  <si>
    <t>Risque élevé avec solution disponible</t>
  </si>
  <si>
    <t>2FA sur tous les accès critiques</t>
  </si>
  <si>
    <r>
      <rPr>
        <b val="1"/>
        <sz val="10"/>
        <color indexed="8"/>
        <rFont val="Arial"/>
      </rPr>
      <t>&lt;-&gt;</t>
    </r>
    <r>
      <rPr>
        <b val="1"/>
        <sz val="14"/>
        <color indexed="25"/>
        <rFont val="Arial"/>
      </rPr>
      <t xml:space="preserve"> </t>
    </r>
    <r>
      <rPr>
        <b val="1"/>
        <sz val="10"/>
        <color indexed="8"/>
        <rFont val="Helvetica Neue"/>
      </rPr>
      <t>Transféré</t>
    </r>
  </si>
  <si>
    <t>Le risque est délégué à un tiers</t>
  </si>
  <si>
    <t>Risque assurantiel ou contractuel</t>
  </si>
  <si>
    <t>PCI-DSS délégué à Stripe</t>
  </si>
  <si>
    <t>X     Refusé</t>
  </si>
  <si>
    <t>L'activité génératrice du risque est abandonnée</t>
  </si>
  <si>
    <t>Risque inacceptable sans solution</t>
  </si>
  <si>
    <t>Abandon d'une intégration non sécurisable</t>
  </si>
  <si>
    <t>3. Mapping des risques - Mappin</t>
  </si>
  <si>
    <t>ID</t>
  </si>
  <si>
    <t xml:space="preserve">Actif </t>
  </si>
  <si>
    <t>Score (issu inventaire actifs)</t>
  </si>
  <si>
    <t>Menace probable (non exhaustif)</t>
  </si>
  <si>
    <t>Vecteur d’attaque probable (non exhaustif)</t>
  </si>
  <si>
    <t>Réglementation impactée (si pertinent)</t>
  </si>
  <si>
    <t>Décision de traitement (cf. 2 Grille de scoring)</t>
  </si>
  <si>
    <t>Priorité de traitement</t>
  </si>
  <si>
    <t>1 = Immédiat, 2 = Planifié, 3 = Surveillance</t>
  </si>
  <si>
    <t>Compromission fournisseur</t>
  </si>
  <si>
    <t>Supply chain</t>
  </si>
  <si>
    <t>RGPD Art.28+32 · NIS2 Obj.8+20</t>
  </si>
  <si>
    <t>Indisponibilité</t>
  </si>
  <si>
    <t>DDoS</t>
  </si>
  <si>
    <t>RGPD Art.28+32 · NIS2 Obj.8+13+20</t>
  </si>
  <si>
    <t>Fuite de données</t>
  </si>
  <si>
    <t>API mal configurée</t>
  </si>
  <si>
    <t>RGPD Art.5+9+32+33+34 · NIS2 Obj.8+10+12+20</t>
  </si>
  <si>
    <t>Intrusion</t>
  </si>
  <si>
    <t>Vol de clé API (token)</t>
  </si>
  <si>
    <t>RGPD Art.5+9+32+33+34 · NIS2 Obj.8+9+10+12+20</t>
  </si>
  <si>
    <t>Port 23 (Telnet) ouvert</t>
  </si>
  <si>
    <t>NIS2 Obj.3+8+9+10+12+20</t>
  </si>
  <si>
    <t>Mouvement latéral</t>
  </si>
  <si>
    <t>Équipement non autorisé (USB/MitM)</t>
  </si>
  <si>
    <t>Force brute — compte compromis</t>
  </si>
  <si>
    <t>RGPD Art.5+32+33+34 · NIS2 Obj.3+9+10+12+20</t>
  </si>
  <si>
    <t>Exploit Public-Facing Application</t>
  </si>
  <si>
    <t>RGPD Art.5+32+33+34 · NIS2 Obj.3+8+9+10+12+20</t>
  </si>
  <si>
    <t>Injection SQL / XSS</t>
  </si>
  <si>
    <t>RGPD Art.5+9+32+33+34+90 · NIS2 Obj.8+10+12+20</t>
  </si>
  <si>
    <t>Extorsion</t>
  </si>
  <si>
    <t>Ransomware — chiffrement données</t>
  </si>
  <si>
    <t>Usurpation d'identité</t>
  </si>
  <si>
    <t>Phishing / ingénierie sociale</t>
  </si>
  <si>
    <t>RGPD Art.5+32+33+34 · PCI-DSS Req.12</t>
  </si>
  <si>
    <t>Écoute clandestine (absence TLS)</t>
  </si>
  <si>
    <t>RGPD Art.5+32+33+34 · PCI-DSS Req.4+7</t>
  </si>
  <si>
    <t>Pivot / mouvement latéral</t>
  </si>
  <si>
    <t>Systèmes tiers non maîtrisés</t>
  </si>
  <si>
    <t>RGPD Art.28 · NIS2 Obj.8+20</t>
  </si>
  <si>
    <r>
      <rPr>
        <b val="1"/>
        <sz val="10"/>
        <color indexed="8"/>
        <rFont val="Arial"/>
      </rPr>
      <t xml:space="preserve"> √     Accepté</t>
    </r>
  </si>
  <si>
    <r>
      <rPr>
        <b val="1"/>
        <sz val="12"/>
        <color indexed="8"/>
        <rFont val="Helvetica Neue"/>
      </rPr>
      <t>Cette feuille permet d’identifier les risques prioritaires et de décider des actions à mener</t>
    </r>
  </si>
</sst>
</file>

<file path=xl/styles.xml><?xml version="1.0" encoding="utf-8"?>
<styleSheet xmlns="http://schemas.openxmlformats.org/spreadsheetml/2006/main">
  <numFmts count="2">
    <numFmt numFmtId="0" formatCode="General"/>
    <numFmt numFmtId="59" formatCode="0,00"/>
  </numFmts>
  <fonts count="19">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2"/>
      <color indexed="8"/>
      <name val="Helvetica Neue"/>
    </font>
    <font>
      <b val="1"/>
      <sz val="12"/>
      <color indexed="8"/>
      <name val="Arial"/>
    </font>
    <font>
      <b val="1"/>
      <sz val="10"/>
      <color indexed="8"/>
      <name val="Helvetica Neue"/>
    </font>
    <font>
      <b val="1"/>
      <sz val="10"/>
      <color indexed="8"/>
      <name val="Arial"/>
    </font>
    <font>
      <b val="1"/>
      <i val="1"/>
      <sz val="10"/>
      <color indexed="8"/>
      <name val="Arial"/>
    </font>
    <font>
      <sz val="10"/>
      <color indexed="8"/>
      <name val="Arial"/>
    </font>
    <font>
      <u val="single"/>
      <sz val="10"/>
      <color indexed="8"/>
      <name val="Arial"/>
    </font>
    <font>
      <sz val="12"/>
      <color indexed="8"/>
      <name val="Times Roman"/>
    </font>
    <font>
      <i val="1"/>
      <sz val="12"/>
      <color indexed="8"/>
      <name val="Times Roman"/>
    </font>
    <font>
      <i val="1"/>
      <sz val="10"/>
      <color indexed="8"/>
      <name val="Arial"/>
    </font>
    <font>
      <i val="1"/>
      <u val="single"/>
      <sz val="10"/>
      <color indexed="8"/>
      <name val="Arial"/>
    </font>
    <font>
      <b val="1"/>
      <sz val="11"/>
      <color indexed="8"/>
      <name val="Arial"/>
    </font>
    <font>
      <b val="1"/>
      <sz val="14"/>
      <color indexed="25"/>
      <name val="Arial"/>
    </font>
    <font>
      <sz val="9"/>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s>
  <borders count="47">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14"/>
      </bottom>
      <diagonal/>
    </border>
    <border>
      <left/>
      <right/>
      <top style="thin">
        <color indexed="12"/>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2"/>
      </right>
      <top/>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2"/>
      </right>
      <top/>
      <bottom style="thin">
        <color indexed="12"/>
      </bottom>
      <diagonal/>
    </border>
    <border>
      <left/>
      <right style="thin">
        <color indexed="12"/>
      </right>
      <top style="thin">
        <color indexed="12"/>
      </top>
      <bottom style="thin">
        <color indexed="14"/>
      </bottom>
      <diagonal/>
    </border>
    <border>
      <left style="thin">
        <color indexed="12"/>
      </left>
      <right/>
      <top style="thin">
        <color indexed="12"/>
      </top>
      <bottom style="thin">
        <color indexed="8"/>
      </bottom>
      <diagonal/>
    </border>
    <border>
      <left/>
      <right/>
      <top style="thin">
        <color indexed="12"/>
      </top>
      <bottom style="thin">
        <color indexed="8"/>
      </bottom>
      <diagonal/>
    </border>
    <border>
      <left style="thin">
        <color indexed="8"/>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8"/>
      </right>
      <top style="thin">
        <color indexed="8"/>
      </top>
      <bottom style="thin">
        <color indexed="14"/>
      </bottom>
      <diagonal/>
    </border>
    <border>
      <left style="thin">
        <color indexed="8"/>
      </left>
      <right style="thin">
        <color indexed="12"/>
      </right>
      <top/>
      <bottom/>
      <diagonal/>
    </border>
    <border>
      <left style="thin">
        <color indexed="8"/>
      </left>
      <right style="thin">
        <color indexed="14"/>
      </right>
      <top style="thin">
        <color indexed="14"/>
      </top>
      <bottom style="thin">
        <color indexed="16"/>
      </bottom>
      <diagonal/>
    </border>
    <border>
      <left style="thin">
        <color indexed="14"/>
      </left>
      <right style="thin">
        <color indexed="8"/>
      </right>
      <top style="thin">
        <color indexed="14"/>
      </top>
      <bottom style="thin">
        <color indexed="16"/>
      </bottom>
      <diagonal/>
    </border>
    <border>
      <left style="thin">
        <color indexed="8"/>
      </left>
      <right style="thin">
        <color indexed="16"/>
      </right>
      <top style="thin">
        <color indexed="16"/>
      </top>
      <bottom style="thin">
        <color indexed="14"/>
      </bottom>
      <diagonal/>
    </border>
    <border>
      <left style="thin">
        <color indexed="14"/>
      </left>
      <right style="thin">
        <color indexed="8"/>
      </right>
      <top style="thin">
        <color indexed="16"/>
      </top>
      <bottom style="thin">
        <color indexed="14"/>
      </bottom>
      <diagonal/>
    </border>
    <border>
      <left style="thin">
        <color indexed="8"/>
      </left>
      <right style="thin">
        <color indexed="16"/>
      </right>
      <top style="thin">
        <color indexed="14"/>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16"/>
      </right>
      <top style="thin">
        <color indexed="14"/>
      </top>
      <bottom style="thin">
        <color indexed="8"/>
      </bottom>
      <diagonal/>
    </border>
    <border>
      <left style="thin">
        <color indexed="16"/>
      </left>
      <right style="thin">
        <color indexed="14"/>
      </right>
      <top style="thin">
        <color indexed="14"/>
      </top>
      <bottom style="thin">
        <color indexed="8"/>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8"/>
      </bottom>
      <diagonal/>
    </border>
    <border>
      <left style="thin">
        <color indexed="14"/>
      </left>
      <right style="thin">
        <color indexed="16"/>
      </right>
      <top style="thin">
        <color indexed="8"/>
      </top>
      <bottom style="thin">
        <color indexed="8"/>
      </bottom>
      <diagonal/>
    </border>
    <border>
      <left style="thin">
        <color indexed="16"/>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8"/>
      </left>
      <right style="thin">
        <color indexed="16"/>
      </right>
      <top style="thin">
        <color indexed="8"/>
      </top>
      <bottom style="thin">
        <color indexed="14"/>
      </bottom>
      <diagonal/>
    </border>
    <border>
      <left style="thin">
        <color indexed="16"/>
      </left>
      <right style="thin">
        <color indexed="14"/>
      </right>
      <top style="thin">
        <color indexed="8"/>
      </top>
      <bottom style="thin">
        <color indexed="14"/>
      </bottom>
      <diagonal/>
    </border>
    <border>
      <left style="thin">
        <color indexed="8"/>
      </left>
      <right style="thin">
        <color indexed="12"/>
      </right>
      <top/>
      <bottom style="thin">
        <color indexed="12"/>
      </bottom>
      <diagonal/>
    </border>
    <border>
      <left style="thin">
        <color indexed="12"/>
      </left>
      <right/>
      <top style="thin">
        <color indexed="14"/>
      </top>
      <bottom style="thin">
        <color indexed="12"/>
      </bottom>
      <diagonal/>
    </border>
    <border>
      <left/>
      <right/>
      <top style="thin">
        <color indexed="14"/>
      </top>
      <bottom style="thin">
        <color indexed="12"/>
      </bottom>
      <diagonal/>
    </border>
    <border>
      <left/>
      <right style="thin">
        <color indexed="12"/>
      </right>
      <top style="thin">
        <color indexed="14"/>
      </top>
      <bottom style="thin">
        <color indexed="12"/>
      </bottom>
      <diagonal/>
    </border>
  </borders>
  <cellStyleXfs count="1">
    <xf numFmtId="0" fontId="0" applyNumberFormat="0" applyFont="1" applyFill="0" applyBorder="0" applyAlignment="1" applyProtection="0">
      <alignment vertical="top" wrapText="1"/>
    </xf>
  </cellStyleXfs>
  <cellXfs count="12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2"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1" fillId="3" borderId="8" applyNumberFormat="0" applyFont="1" applyFill="1" applyBorder="1" applyAlignment="1" applyProtection="0">
      <alignment horizontal="left" vertical="top" wrapText="1"/>
    </xf>
    <xf numFmtId="49" fontId="1" fillId="3" borderId="8" applyNumberFormat="1" applyFont="1" applyFill="1" applyBorder="1" applyAlignment="1" applyProtection="0">
      <alignment horizontal="left" vertical="top" wrapText="1"/>
    </xf>
    <xf numFmtId="49" fontId="3" fillId="3" borderId="8" applyNumberFormat="1" applyFont="1" applyFill="1" applyBorder="1" applyAlignment="1" applyProtection="0">
      <alignment horizontal="lef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5" fillId="4" borderId="10" applyNumberFormat="1" applyFont="1" applyFill="1" applyBorder="1" applyAlignment="1" applyProtection="0">
      <alignment horizontal="center" vertical="center"/>
    </xf>
    <xf numFmtId="0" fontId="5" fillId="4" borderId="11" applyNumberFormat="0" applyFont="1" applyFill="1" applyBorder="1" applyAlignment="1" applyProtection="0">
      <alignment horizontal="center" vertical="center"/>
    </xf>
    <xf numFmtId="0" fontId="0" fillId="4" borderId="3" applyNumberFormat="0" applyFont="1" applyFill="1" applyBorder="1" applyAlignment="1" applyProtection="0">
      <alignment vertical="top" wrapText="1"/>
    </xf>
    <xf numFmtId="49" fontId="6" fillId="5" borderId="12" applyNumberFormat="1" applyFont="1" applyFill="1" applyBorder="1" applyAlignment="1" applyProtection="0">
      <alignment horizontal="center" vertical="top" wrapText="1"/>
    </xf>
    <xf numFmtId="0" fontId="7" fillId="5" borderId="12" applyNumberFormat="0" applyFont="1" applyFill="1" applyBorder="1" applyAlignment="1" applyProtection="0">
      <alignment vertical="top" wrapText="1"/>
    </xf>
    <xf numFmtId="0" fontId="0" fillId="4" borderId="13" applyNumberFormat="0" applyFont="1" applyFill="1" applyBorder="1" applyAlignment="1" applyProtection="0">
      <alignment vertical="top" wrapText="1"/>
    </xf>
    <xf numFmtId="49" fontId="8" fillId="5" borderId="12" applyNumberFormat="1" applyFont="1" applyFill="1" applyBorder="1" applyAlignment="1" applyProtection="0">
      <alignment vertical="top" wrapText="1"/>
    </xf>
    <xf numFmtId="49" fontId="8" fillId="5" borderId="14" applyNumberFormat="1" applyFont="1" applyFill="1" applyBorder="1" applyAlignment="1" applyProtection="0">
      <alignment vertical="top" wrapText="1"/>
    </xf>
    <xf numFmtId="0" fontId="8" fillId="6" borderId="15" applyNumberFormat="0" applyFont="1" applyFill="1" applyBorder="1" applyAlignment="1" applyProtection="0">
      <alignment vertical="top" wrapText="1"/>
    </xf>
    <xf numFmtId="49" fontId="10" fillId="4" borderId="16" applyNumberFormat="1" applyFont="1" applyFill="1" applyBorder="1" applyAlignment="1" applyProtection="0">
      <alignment vertical="top" wrapText="1"/>
    </xf>
    <xf numFmtId="49" fontId="10" fillId="4" borderId="17" applyNumberFormat="1" applyFont="1" applyFill="1" applyBorder="1" applyAlignment="1" applyProtection="0">
      <alignment vertical="top" wrapText="1"/>
    </xf>
    <xf numFmtId="0" fontId="8" fillId="6" borderId="18" applyNumberFormat="0" applyFont="1" applyFill="1" applyBorder="1" applyAlignment="1" applyProtection="0">
      <alignment vertical="top" wrapText="1"/>
    </xf>
    <xf numFmtId="49" fontId="10" fillId="4" borderId="19" applyNumberFormat="1" applyFont="1" applyFill="1" applyBorder="1" applyAlignment="1" applyProtection="0">
      <alignment vertical="top" wrapText="1"/>
    </xf>
    <xf numFmtId="49" fontId="10" fillId="4" borderId="12" applyNumberFormat="1" applyFont="1" applyFill="1" applyBorder="1" applyAlignment="1" applyProtection="0">
      <alignment vertical="top" wrapText="1"/>
    </xf>
    <xf numFmtId="49" fontId="0" fillId="4" borderId="12" applyNumberFormat="1" applyFont="1" applyFill="1" applyBorder="1" applyAlignment="1" applyProtection="0">
      <alignment vertical="top" wrapText="1"/>
    </xf>
    <xf numFmtId="0" fontId="10" fillId="4" borderId="19" applyNumberFormat="0" applyFont="1" applyFill="1" applyBorder="1" applyAlignment="1" applyProtection="0">
      <alignment vertical="top" wrapText="1"/>
    </xf>
    <xf numFmtId="0" fontId="10" fillId="4" borderId="12" applyNumberFormat="0" applyFont="1" applyFill="1" applyBorder="1" applyAlignment="1" applyProtection="0">
      <alignment vertical="top" wrapText="1"/>
    </xf>
    <xf numFmtId="49" fontId="8" fillId="6" borderId="18" applyNumberFormat="1" applyFont="1" applyFill="1" applyBorder="1" applyAlignment="1" applyProtection="0">
      <alignment vertical="top" wrapText="1"/>
    </xf>
    <xf numFmtId="0" fontId="0" fillId="4" borderId="12" applyNumberFormat="0" applyFont="1" applyFill="1" applyBorder="1" applyAlignment="1" applyProtection="0">
      <alignment vertical="top" wrapText="1"/>
    </xf>
    <xf numFmtId="0" fontId="0" fillId="4" borderId="20"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6" fillId="4" borderId="10" applyNumberFormat="1" applyFont="1" applyFill="1" applyBorder="1" applyAlignment="1" applyProtection="0">
      <alignment horizontal="center" vertical="center"/>
    </xf>
    <xf numFmtId="0" fontId="6" fillId="4" borderId="11" applyNumberFormat="0" applyFont="1" applyFill="1" applyBorder="1" applyAlignment="1" applyProtection="0">
      <alignment horizontal="center" vertical="center"/>
    </xf>
    <xf numFmtId="0" fontId="6" fillId="4" borderId="21" applyNumberFormat="0" applyFont="1" applyFill="1" applyBorder="1" applyAlignment="1" applyProtection="0">
      <alignment horizontal="center" vertical="center"/>
    </xf>
    <xf numFmtId="49" fontId="9" fillId="6" borderId="17" applyNumberFormat="1" applyFont="1" applyFill="1" applyBorder="1" applyAlignment="1" applyProtection="0">
      <alignment vertical="top" wrapText="1"/>
    </xf>
    <xf numFmtId="49" fontId="9" fillId="6" borderId="15" applyNumberFormat="1" applyFont="1" applyFill="1" applyBorder="1" applyAlignment="1" applyProtection="0">
      <alignment vertical="top" wrapText="1"/>
    </xf>
    <xf numFmtId="49" fontId="14" fillId="4" borderId="16" applyNumberFormat="1" applyFont="1" applyFill="1" applyBorder="1" applyAlignment="1" applyProtection="0">
      <alignment vertical="top" wrapText="1"/>
    </xf>
    <xf numFmtId="49" fontId="14" fillId="4" borderId="17" applyNumberFormat="1" applyFont="1" applyFill="1" applyBorder="1" applyAlignment="1" applyProtection="0">
      <alignment vertical="top" wrapText="1"/>
    </xf>
    <xf numFmtId="49" fontId="10" fillId="4" borderId="17" applyNumberFormat="1" applyFont="1" applyFill="1" applyBorder="1" applyAlignment="1" applyProtection="0">
      <alignment horizontal="left" vertical="top" wrapText="1"/>
    </xf>
    <xf numFmtId="59" fontId="9" fillId="6" borderId="12" applyNumberFormat="1" applyFont="1" applyFill="1" applyBorder="1" applyAlignment="1" applyProtection="0">
      <alignment vertical="top" wrapText="1"/>
    </xf>
    <xf numFmtId="49" fontId="9" fillId="6" borderId="18" applyNumberFormat="1" applyFont="1" applyFill="1" applyBorder="1" applyAlignment="1" applyProtection="0">
      <alignment vertical="top" wrapText="1"/>
    </xf>
    <xf numFmtId="0" fontId="14" fillId="4" borderId="19" applyNumberFormat="0" applyFont="1" applyFill="1" applyBorder="1" applyAlignment="1" applyProtection="0">
      <alignment vertical="top" wrapText="1"/>
    </xf>
    <xf numFmtId="0" fontId="14" fillId="4" borderId="12" applyNumberFormat="0" applyFont="1" applyFill="1" applyBorder="1" applyAlignment="1" applyProtection="0">
      <alignment vertical="top" wrapText="1"/>
    </xf>
    <xf numFmtId="0" fontId="14" fillId="4" borderId="12" applyNumberFormat="1" applyFont="1" applyFill="1" applyBorder="1" applyAlignment="1" applyProtection="0">
      <alignment vertical="top" wrapText="1"/>
    </xf>
    <xf numFmtId="59" fontId="8" fillId="6" borderId="12" applyNumberFormat="1" applyFont="1" applyFill="1" applyBorder="1" applyAlignment="1" applyProtection="0">
      <alignment vertical="top" wrapText="1"/>
    </xf>
    <xf numFmtId="1" fontId="10" fillId="4" borderId="12" applyNumberFormat="1" applyFont="1" applyFill="1" applyBorder="1" applyAlignment="1" applyProtection="0">
      <alignment vertical="top" wrapText="1"/>
    </xf>
    <xf numFmtId="0" fontId="10" fillId="4" borderId="12"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6" fillId="4" borderId="22" applyNumberFormat="1" applyFont="1" applyFill="1" applyBorder="1" applyAlignment="1" applyProtection="0">
      <alignment horizontal="center" vertical="center"/>
    </xf>
    <xf numFmtId="0" fontId="6" fillId="4" borderId="23" applyNumberFormat="0" applyFont="1" applyFill="1" applyBorder="1" applyAlignment="1" applyProtection="0">
      <alignment horizontal="center" vertical="center"/>
    </xf>
    <xf numFmtId="49" fontId="16" fillId="5" borderId="24" applyNumberFormat="1" applyFont="1" applyFill="1" applyBorder="1" applyAlignment="1" applyProtection="0">
      <alignment horizontal="center" vertical="top" wrapText="1"/>
    </xf>
    <xf numFmtId="0" fontId="7" fillId="5" borderId="25" applyNumberFormat="0" applyFont="1" applyFill="1" applyBorder="1" applyAlignment="1" applyProtection="0">
      <alignment vertical="top" wrapText="1"/>
    </xf>
    <xf numFmtId="0" fontId="7" fillId="5" borderId="26" applyNumberFormat="0" applyFont="1" applyFill="1" applyBorder="1" applyAlignment="1" applyProtection="0">
      <alignment vertical="top" wrapText="1"/>
    </xf>
    <xf numFmtId="0" fontId="0" fillId="4" borderId="27" applyNumberFormat="0" applyFont="1" applyFill="1" applyBorder="1" applyAlignment="1" applyProtection="0">
      <alignment vertical="top" wrapText="1"/>
    </xf>
    <xf numFmtId="49" fontId="8" fillId="5" borderId="28" applyNumberFormat="1" applyFont="1" applyFill="1" applyBorder="1" applyAlignment="1" applyProtection="0">
      <alignment vertical="top" wrapText="1"/>
    </xf>
    <xf numFmtId="49" fontId="8" fillId="5" borderId="29" applyNumberFormat="1" applyFont="1" applyFill="1" applyBorder="1" applyAlignment="1" applyProtection="0">
      <alignment vertical="top" wrapText="1"/>
    </xf>
    <xf numFmtId="1" fontId="8" fillId="6" borderId="30" applyNumberFormat="1" applyFont="1" applyFill="1" applyBorder="1" applyAlignment="1" applyProtection="0">
      <alignment vertical="top" wrapText="1"/>
    </xf>
    <xf numFmtId="49" fontId="8" fillId="4" borderId="16" applyNumberFormat="1" applyFont="1" applyFill="1" applyBorder="1" applyAlignment="1" applyProtection="0">
      <alignment vertical="top" wrapText="1"/>
    </xf>
    <xf numFmtId="49" fontId="10" fillId="4" borderId="31" applyNumberFormat="1" applyFont="1" applyFill="1" applyBorder="1" applyAlignment="1" applyProtection="0">
      <alignment vertical="top" wrapText="1"/>
    </xf>
    <xf numFmtId="1" fontId="8" fillId="6" borderId="32" applyNumberFormat="1" applyFont="1" applyFill="1" applyBorder="1" applyAlignment="1" applyProtection="0">
      <alignment vertical="top" wrapText="1"/>
    </xf>
    <xf numFmtId="49" fontId="8" fillId="4" borderId="19" applyNumberFormat="1" applyFont="1" applyFill="1" applyBorder="1" applyAlignment="1" applyProtection="0">
      <alignment vertical="top" wrapText="1"/>
    </xf>
    <xf numFmtId="49" fontId="10" fillId="4" borderId="33" applyNumberFormat="1" applyFont="1" applyFill="1" applyBorder="1" applyAlignment="1" applyProtection="0">
      <alignment vertical="top" wrapText="1"/>
    </xf>
    <xf numFmtId="1" fontId="8" fillId="6" borderId="34" applyNumberFormat="1" applyFont="1" applyFill="1" applyBorder="1" applyAlignment="1" applyProtection="0">
      <alignment vertical="top" wrapText="1"/>
    </xf>
    <xf numFmtId="49" fontId="8" fillId="4" borderId="35" applyNumberFormat="1" applyFont="1" applyFill="1" applyBorder="1" applyAlignment="1" applyProtection="0">
      <alignment vertical="top" wrapText="1"/>
    </xf>
    <xf numFmtId="49" fontId="10" fillId="4" borderId="36" applyNumberFormat="1" applyFont="1" applyFill="1" applyBorder="1" applyAlignment="1" applyProtection="0">
      <alignment vertical="top" wrapText="1"/>
    </xf>
    <xf numFmtId="49" fontId="10" fillId="4" borderId="37" applyNumberFormat="1" applyFont="1" applyFill="1" applyBorder="1" applyAlignment="1" applyProtection="0">
      <alignment vertical="top" wrapText="1"/>
    </xf>
    <xf numFmtId="0" fontId="8" fillId="6" borderId="38" applyNumberFormat="0" applyFont="1" applyFill="1" applyBorder="1" applyAlignment="1" applyProtection="0">
      <alignment vertical="top" wrapText="1"/>
    </xf>
    <xf numFmtId="0" fontId="10" fillId="4" borderId="39" applyNumberFormat="0" applyFont="1" applyFill="1" applyBorder="1" applyAlignment="1" applyProtection="0">
      <alignment vertical="top" wrapText="1"/>
    </xf>
    <xf numFmtId="0" fontId="10" fillId="4" borderId="40" applyNumberFormat="0" applyFont="1" applyFill="1" applyBorder="1" applyAlignment="1" applyProtection="0">
      <alignment vertical="top" wrapText="1"/>
    </xf>
    <xf numFmtId="0" fontId="16" fillId="5" borderId="41" applyNumberFormat="0" applyFont="1" applyFill="1" applyBorder="1" applyAlignment="1" applyProtection="0">
      <alignment horizontal="center" vertical="top" wrapText="1"/>
    </xf>
    <xf numFmtId="49" fontId="16" fillId="5" borderId="42" applyNumberFormat="1" applyFont="1" applyFill="1" applyBorder="1" applyAlignment="1" applyProtection="0">
      <alignment horizontal="center" vertical="top" wrapText="1"/>
    </xf>
    <xf numFmtId="0" fontId="0" fillId="4" borderId="25" applyNumberFormat="0" applyFont="1" applyFill="1" applyBorder="1" applyAlignment="1" applyProtection="0">
      <alignment vertical="top" wrapText="1"/>
    </xf>
    <xf numFmtId="0" fontId="0" fillId="4" borderId="26" applyNumberFormat="0" applyFont="1" applyFill="1" applyBorder="1" applyAlignment="1" applyProtection="0">
      <alignment vertical="top" wrapText="1"/>
    </xf>
    <xf numFmtId="49" fontId="8" fillId="5" borderId="32" applyNumberFormat="1" applyFont="1" applyFill="1" applyBorder="1" applyAlignment="1" applyProtection="0">
      <alignment vertical="top" wrapText="1"/>
    </xf>
    <xf numFmtId="49" fontId="8" fillId="5" borderId="19" applyNumberFormat="1" applyFont="1" applyFill="1" applyBorder="1" applyAlignment="1" applyProtection="0">
      <alignment vertical="top" wrapText="1"/>
    </xf>
    <xf numFmtId="49" fontId="8" fillId="5" borderId="33" applyNumberFormat="1" applyFont="1" applyFill="1" applyBorder="1" applyAlignment="1" applyProtection="0">
      <alignment vertical="top" wrapText="1"/>
    </xf>
    <xf numFmtId="1" fontId="8" fillId="6" borderId="38" applyNumberFormat="1" applyFont="1" applyFill="1" applyBorder="1" applyAlignment="1" applyProtection="0">
      <alignment vertical="top" wrapText="1"/>
    </xf>
    <xf numFmtId="49" fontId="8" fillId="5" borderId="42" applyNumberFormat="1" applyFont="1" applyFill="1" applyBorder="1" applyAlignment="1" applyProtection="0">
      <alignment horizontal="center" vertical="top" wrapText="1"/>
    </xf>
    <xf numFmtId="0" fontId="8" fillId="5" borderId="32" applyNumberFormat="0" applyFont="1" applyFill="1" applyBorder="1" applyAlignment="1" applyProtection="0">
      <alignment vertical="top" wrapText="1"/>
    </xf>
    <xf numFmtId="49" fontId="8" fillId="5" borderId="19" applyNumberFormat="1" applyFont="1" applyFill="1" applyBorder="1" applyAlignment="1" applyProtection="0">
      <alignment horizontal="center" vertical="top" wrapText="1"/>
    </xf>
    <xf numFmtId="0" fontId="0" fillId="4" borderId="33" applyNumberFormat="0" applyFont="1" applyFill="1" applyBorder="1" applyAlignment="1" applyProtection="0">
      <alignment vertical="top" wrapText="1"/>
    </xf>
    <xf numFmtId="0" fontId="10" fillId="5" borderId="33" applyNumberFormat="0" applyFont="1" applyFill="1" applyBorder="1" applyAlignment="1" applyProtection="0">
      <alignment vertical="top" wrapText="1"/>
    </xf>
    <xf numFmtId="49" fontId="8" fillId="7" borderId="32" applyNumberFormat="1" applyFont="1" applyFill="1" applyBorder="1" applyAlignment="1" applyProtection="0">
      <alignment vertical="top" wrapText="1"/>
    </xf>
    <xf numFmtId="0" fontId="10" fillId="4" borderId="33" applyNumberFormat="0" applyFont="1" applyFill="1" applyBorder="1" applyAlignment="1" applyProtection="0">
      <alignment vertical="top" wrapText="1"/>
    </xf>
    <xf numFmtId="49" fontId="8" fillId="8" borderId="32" applyNumberFormat="1" applyFont="1" applyFill="1" applyBorder="1" applyAlignment="1" applyProtection="0">
      <alignment vertical="top" wrapText="1"/>
    </xf>
    <xf numFmtId="49" fontId="8" fillId="9" borderId="32" applyNumberFormat="1" applyFont="1" applyFill="1" applyBorder="1" applyAlignment="1" applyProtection="0">
      <alignment vertical="top" wrapText="1"/>
    </xf>
    <xf numFmtId="0" fontId="8" fillId="5" borderId="32" applyNumberFormat="0" applyFont="1" applyFill="1" applyBorder="1" applyAlignment="1" applyProtection="0">
      <alignment horizontal="left" vertical="top" wrapText="1"/>
    </xf>
    <xf numFmtId="49" fontId="8" fillId="6" borderId="32" applyNumberFormat="1" applyFont="1" applyFill="1" applyBorder="1" applyAlignment="1" applyProtection="0">
      <alignment vertical="top" wrapText="1"/>
    </xf>
    <xf numFmtId="49" fontId="7" fillId="6" borderId="32" applyNumberFormat="1" applyFont="1" applyFill="1" applyBorder="1" applyAlignment="1" applyProtection="0">
      <alignment vertical="top" wrapText="1"/>
    </xf>
    <xf numFmtId="49" fontId="7" fillId="4" borderId="19" applyNumberFormat="1" applyFont="1" applyFill="1" applyBorder="1" applyAlignment="1" applyProtection="0">
      <alignment vertical="top" wrapText="1"/>
    </xf>
    <xf numFmtId="49" fontId="0" fillId="4" borderId="33" applyNumberFormat="1" applyFont="1" applyFill="1" applyBorder="1" applyAlignment="1" applyProtection="0">
      <alignment vertical="top" wrapText="1"/>
    </xf>
    <xf numFmtId="49" fontId="7" fillId="6" borderId="34" applyNumberFormat="1" applyFont="1" applyFill="1" applyBorder="1" applyAlignment="1" applyProtection="0">
      <alignment vertical="top" wrapText="1"/>
    </xf>
    <xf numFmtId="49" fontId="7" fillId="4" borderId="35" applyNumberFormat="1" applyFont="1" applyFill="1" applyBorder="1" applyAlignment="1" applyProtection="0">
      <alignment vertical="top" wrapText="1"/>
    </xf>
    <xf numFmtId="49" fontId="0" fillId="4" borderId="36" applyNumberFormat="1" applyFont="1" applyFill="1" applyBorder="1" applyAlignment="1" applyProtection="0">
      <alignment vertical="top" wrapText="1"/>
    </xf>
    <xf numFmtId="49" fontId="0" fillId="4" borderId="37" applyNumberFormat="1" applyFont="1" applyFill="1" applyBorder="1" applyAlignment="1" applyProtection="0">
      <alignment vertical="top" wrapText="1"/>
    </xf>
    <xf numFmtId="0" fontId="0" fillId="4" borderId="43"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5" fillId="4" borderId="21" applyNumberFormat="0" applyFont="1" applyFill="1" applyBorder="1" applyAlignment="1" applyProtection="0">
      <alignment horizontal="center" vertical="center"/>
    </xf>
    <xf numFmtId="49" fontId="7" fillId="5" borderId="14" applyNumberFormat="1" applyFont="1" applyFill="1" applyBorder="1" applyAlignment="1" applyProtection="0">
      <alignment vertical="top" wrapText="1"/>
    </xf>
    <xf numFmtId="0" fontId="7" fillId="4" borderId="16" applyNumberFormat="0" applyFont="1" applyFill="1" applyBorder="1" applyAlignment="1" applyProtection="0">
      <alignment vertical="top" wrapText="1"/>
    </xf>
    <xf numFmtId="0" fontId="0" fillId="4" borderId="17" applyNumberFormat="0" applyFont="1" applyFill="1" applyBorder="1" applyAlignment="1" applyProtection="0">
      <alignment vertical="top" wrapText="1"/>
    </xf>
    <xf numFmtId="0" fontId="18" fillId="4" borderId="17" applyNumberFormat="0" applyFont="1" applyFill="1" applyBorder="1" applyAlignment="1" applyProtection="0">
      <alignment vertical="top" wrapText="1"/>
    </xf>
    <xf numFmtId="49" fontId="18" fillId="4" borderId="17" applyNumberFormat="1" applyFont="1" applyFill="1" applyBorder="1" applyAlignment="1" applyProtection="0">
      <alignment vertical="top" wrapText="1"/>
    </xf>
    <xf numFmtId="0" fontId="7" fillId="4" borderId="19" applyNumberFormat="0" applyFont="1" applyFill="1" applyBorder="1" applyAlignment="1" applyProtection="0">
      <alignment vertical="top" wrapText="1"/>
    </xf>
    <xf numFmtId="59" fontId="7" fillId="6" borderId="12" applyNumberFormat="1" applyFont="1" applyFill="1" applyBorder="1" applyAlignment="1" applyProtection="0">
      <alignment vertical="top" wrapText="1"/>
    </xf>
    <xf numFmtId="49" fontId="7" fillId="6" borderId="18" applyNumberFormat="1" applyFont="1" applyFill="1" applyBorder="1" applyAlignment="1" applyProtection="0">
      <alignment vertical="top" wrapText="1"/>
    </xf>
    <xf numFmtId="0" fontId="7" fillId="4" borderId="19" applyNumberFormat="1" applyFont="1" applyFill="1" applyBorder="1" applyAlignment="1" applyProtection="0">
      <alignment vertical="top" wrapText="1"/>
    </xf>
    <xf numFmtId="49" fontId="7" fillId="4" borderId="12" applyNumberFormat="1" applyFont="1" applyFill="1" applyBorder="1" applyAlignment="1" applyProtection="0">
      <alignment vertical="top" wrapText="1"/>
    </xf>
    <xf numFmtId="0" fontId="0" fillId="4" borderId="12" applyNumberFormat="1" applyFont="1" applyFill="1" applyBorder="1" applyAlignment="1" applyProtection="0">
      <alignment vertical="top" wrapText="1"/>
    </xf>
    <xf numFmtId="49" fontId="0" fillId="4" borderId="44" applyNumberFormat="1" applyFont="1" applyFill="1" applyBorder="1" applyAlignment="1" applyProtection="0">
      <alignment horizontal="center" vertical="center" wrapText="1"/>
    </xf>
    <xf numFmtId="0" fontId="0" fillId="4" borderId="45" applyNumberFormat="0" applyFont="1" applyFill="1" applyBorder="1" applyAlignment="1" applyProtection="0">
      <alignment horizontal="center" vertical="center" wrapText="1"/>
    </xf>
    <xf numFmtId="0" fontId="0" fillId="4" borderId="46" applyNumberFormat="0" applyFont="1" applyFill="1" applyBorder="1" applyAlignment="1" applyProtection="0">
      <alignment horizontal="center" vertical="center" wrapText="1"/>
    </xf>
  </cellXfs>
  <cellStyles count="1">
    <cellStyle name="Normal" xfId="0" builtinId="0"/>
  </cellStyles>
  <dxfs count="9">
    <dxf>
      <font>
        <color rgb="ff000000"/>
      </font>
      <fill>
        <patternFill patternType="solid">
          <fgColor indexed="18"/>
          <bgColor indexed="19"/>
        </patternFill>
      </fill>
    </dxf>
    <dxf>
      <font>
        <color rgb="ff000000"/>
      </font>
      <fill>
        <patternFill patternType="solid">
          <fgColor indexed="18"/>
          <bgColor indexed="20"/>
        </patternFill>
      </fill>
    </dxf>
    <dxf>
      <font>
        <color rgb="ff000000"/>
      </font>
      <fill>
        <patternFill patternType="solid">
          <fgColor indexed="18"/>
          <bgColor indexed="21"/>
        </patternFill>
      </fill>
    </dxf>
    <dxf>
      <font>
        <color rgb="ff000000"/>
      </font>
      <fill>
        <patternFill patternType="solid">
          <fgColor indexed="18"/>
          <bgColor indexed="21"/>
        </patternFill>
      </fill>
    </dxf>
    <dxf>
      <font>
        <color rgb="ff000000"/>
      </font>
      <fill>
        <patternFill patternType="solid">
          <fgColor indexed="18"/>
          <bgColor indexed="20"/>
        </patternFill>
      </fill>
    </dxf>
    <dxf>
      <font>
        <color rgb="ff000000"/>
      </font>
      <fill>
        <patternFill patternType="solid">
          <fgColor indexed="18"/>
          <bgColor indexed="19"/>
        </patternFill>
      </fill>
    </dxf>
    <dxf>
      <font>
        <b val="1"/>
        <color rgb="fffefffe"/>
      </font>
      <fill>
        <patternFill patternType="solid">
          <fgColor indexed="18"/>
          <bgColor indexed="26"/>
        </patternFill>
      </fill>
    </dxf>
    <dxf>
      <font>
        <b val="1"/>
        <color rgb="fffefffe"/>
      </font>
      <fill>
        <patternFill patternType="solid">
          <fgColor indexed="18"/>
          <bgColor indexed="28"/>
        </patternFill>
      </fill>
    </dxf>
    <dxf>
      <font>
        <b val="1"/>
        <color rgb="ff00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5a5a5"/>
      <rgbColor rgb="ffbdc0bf"/>
      <rgbColor rgb="ff3f3f3f"/>
      <rgbColor rgb="ffdbdbdb"/>
      <rgbColor rgb="00000000"/>
      <rgbColor rgb="ffafe489"/>
      <rgbColor rgb="fffffc98"/>
      <rgbColor rgb="ffff9781"/>
      <rgbColor rgb="ff88f94e"/>
      <rgbColor rgb="ffffd931"/>
      <rgbColor rgb="fffe634d"/>
      <rgbColor rgb="ff00a1fe"/>
      <rgbColor rgb="ffb41700"/>
      <rgbColor rgb="fffefffe"/>
      <rgbColor rgb="fff271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4.7" customHeight="1">
      <c r="A1" s="7"/>
      <c r="B1" s="8"/>
      <c r="C1" s="8"/>
      <c r="D1" s="8"/>
      <c r="E1" s="9"/>
    </row>
    <row r="2" ht="14.7" customHeight="1">
      <c r="A2" s="10"/>
      <c r="B2" s="11"/>
      <c r="C2" s="11"/>
      <c r="D2" s="11"/>
      <c r="E2" s="12"/>
    </row>
    <row r="3" ht="50" customHeight="1">
      <c r="A3" s="10"/>
      <c r="B3" t="s" s="13">
        <v>0</v>
      </c>
      <c r="C3" s="11"/>
      <c r="D3" s="11"/>
      <c r="E3" s="12"/>
    </row>
    <row r="4" ht="14.7" customHeight="1">
      <c r="A4" s="10"/>
      <c r="B4" s="11"/>
      <c r="C4" s="11"/>
      <c r="D4" s="11"/>
      <c r="E4" s="12"/>
    </row>
    <row r="5" ht="14.7" customHeight="1">
      <c r="A5" s="10"/>
      <c r="B5" s="11"/>
      <c r="C5" s="11"/>
      <c r="D5" s="11"/>
      <c r="E5" s="12"/>
    </row>
    <row r="6" ht="14.7" customHeight="1">
      <c r="A6" s="10"/>
      <c r="B6" s="11"/>
      <c r="C6" s="11"/>
      <c r="D6" s="11"/>
      <c r="E6" s="12"/>
    </row>
    <row r="7">
      <c r="A7" s="10"/>
      <c r="B7" t="s" s="14">
        <v>1</v>
      </c>
      <c r="C7" t="s" s="14">
        <v>2</v>
      </c>
      <c r="D7" t="s" s="14">
        <v>3</v>
      </c>
      <c r="E7" s="12"/>
    </row>
    <row r="8" ht="14.7" customHeight="1">
      <c r="A8" s="10"/>
      <c r="B8" s="11"/>
      <c r="C8" s="11"/>
      <c r="D8" s="11"/>
      <c r="E8" s="12"/>
    </row>
    <row r="9">
      <c r="A9" s="10"/>
      <c r="B9" t="s" s="15">
        <v>6</v>
      </c>
      <c r="C9" s="16"/>
      <c r="D9" s="16"/>
      <c r="E9" s="12"/>
    </row>
    <row r="10">
      <c r="A10" s="10"/>
      <c r="B10" s="17"/>
      <c r="C10" t="s" s="18">
        <v>7</v>
      </c>
      <c r="D10" t="s" s="19">
        <v>8</v>
      </c>
      <c r="E10" s="12"/>
    </row>
    <row r="11" ht="13" customHeight="1">
      <c r="A11" s="10"/>
      <c r="B11" t="s" s="3">
        <v>18</v>
      </c>
      <c r="C11" s="3"/>
      <c r="D11" s="3"/>
      <c r="E11" s="12"/>
    </row>
    <row r="12" ht="13" customHeight="1">
      <c r="A12" s="10"/>
      <c r="B12" s="4"/>
      <c r="C12" t="s" s="4">
        <v>5</v>
      </c>
      <c r="D12" t="s" s="5">
        <v>18</v>
      </c>
      <c r="E12" s="12"/>
    </row>
    <row r="13" ht="13" customHeight="1">
      <c r="A13" s="10"/>
      <c r="B13" t="s" s="3">
        <v>37</v>
      </c>
      <c r="C13" s="3"/>
      <c r="D13" s="3"/>
      <c r="E13" s="12"/>
    </row>
    <row r="14" ht="13" customHeight="1">
      <c r="A14" s="10"/>
      <c r="B14" s="4"/>
      <c r="C14" t="s" s="4">
        <v>5</v>
      </c>
      <c r="D14" t="s" s="5">
        <v>37</v>
      </c>
      <c r="E14" s="12"/>
    </row>
    <row r="15" ht="13" customHeight="1">
      <c r="A15" s="10"/>
      <c r="B15" t="s" s="3">
        <v>107</v>
      </c>
      <c r="C15" s="3"/>
      <c r="D15" s="3"/>
      <c r="E15" s="12"/>
    </row>
    <row r="16" ht="13" customHeight="1">
      <c r="A16" s="20"/>
      <c r="B16" s="4"/>
      <c r="C16" t="s" s="4">
        <v>5</v>
      </c>
      <c r="D16" t="s" s="5">
        <v>107</v>
      </c>
      <c r="E16" s="24"/>
    </row>
    <row r="17">
      <c r="B17" t="s" s="3">
        <v>161</v>
      </c>
      <c r="C17" s="3"/>
      <c r="D17" s="3"/>
    </row>
    <row r="18">
      <c r="B18" s="4"/>
      <c r="C18" t="s" s="4">
        <v>5</v>
      </c>
      <c r="D18" t="s" s="5">
        <v>161</v>
      </c>
    </row>
  </sheetData>
  <mergeCells count="2">
    <mergeCell ref="B3:D3"/>
    <mergeCell ref="B3:D3"/>
  </mergeCells>
  <hyperlinks>
    <hyperlink ref="D10" location="'Résumé de l’exportation'!R1C1" tooltip="" display="Résumé de l’exportation"/>
    <hyperlink ref="D10" location="'Mode d''emploi - Sommaire et mod'!R1C1" tooltip="" display="Mode d'emploi - Sommaire et mod"/>
    <hyperlink ref="D12" location="'1. Inventaire des actifs - Inve'!R1C1" tooltip="" display="1. Inventaire des actifs - Inve"/>
    <hyperlink ref="D14" location="'2. Grille de Scoring - Grille d'!R1C1" tooltip="" display="2. Grille de Scoring - Grille d"/>
    <hyperlink ref="D16" location="'3. Mapping des risques - Mappin'!R1C1" tooltip="" display="3. Mapping des risques - Mappin"/>
    <hyperlink ref="D12" location="'Mode d''emploi - Sommaire et mod'!R1C1" tooltip="" display="Mode d'emploi - Sommaire et mod"/>
    <hyperlink ref="D14" location="'1. Inventaire des actifs - Inve'!R1C1" tooltip="" display="1. Inventaire des actifs - Inve"/>
    <hyperlink ref="D16" location="'2. Grille de Scoring - Grille d'!R1C1" tooltip="" display="2. Grille de Scoring - Grille d"/>
    <hyperlink ref="D18" location="'3. Mapping des risques - Mappin'!R1C1" tooltip="" display="3. Mapping des risques - Mappi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6.3333" defaultRowHeight="19.9" customHeight="1" outlineLevelRow="0" outlineLevelCol="0"/>
  <cols>
    <col min="1" max="1" width="16.3516" style="25" customWidth="1"/>
    <col min="2" max="2" width="25" style="25" customWidth="1"/>
    <col min="3" max="3" width="45.5" style="25" customWidth="1"/>
    <col min="4" max="4" width="65.8516" style="25" customWidth="1"/>
    <col min="5" max="5" width="16.3516" style="25" customWidth="1"/>
    <col min="6" max="16384" width="16.3516" style="25" customWidth="1"/>
  </cols>
  <sheetData>
    <row r="1" ht="28.65" customHeight="1">
      <c r="A1" t="s" s="26">
        <v>7</v>
      </c>
      <c r="B1" s="27"/>
      <c r="C1" s="27"/>
      <c r="D1" s="27"/>
      <c r="E1" s="28"/>
    </row>
    <row r="2" ht="35.95" customHeight="1">
      <c r="A2" t="s" s="29">
        <v>19</v>
      </c>
      <c r="B2" s="30"/>
      <c r="C2" s="30"/>
      <c r="D2" s="30"/>
      <c r="E2" s="31"/>
    </row>
    <row r="3" ht="74" customHeight="1">
      <c r="A3" t="s" s="32">
        <v>20</v>
      </c>
      <c r="B3" t="s" s="32">
        <v>21</v>
      </c>
      <c r="C3" s="30"/>
      <c r="D3" s="30"/>
      <c r="E3" s="31"/>
    </row>
    <row r="4" ht="19.2" customHeight="1">
      <c r="A4" t="s" s="33">
        <v>22</v>
      </c>
      <c r="B4" t="s" s="33">
        <v>23</v>
      </c>
      <c r="C4" t="s" s="33">
        <v>24</v>
      </c>
      <c r="D4" t="s" s="33">
        <v>25</v>
      </c>
      <c r="E4" s="31"/>
    </row>
    <row r="5" ht="63.2" customHeight="1">
      <c r="A5" s="34"/>
      <c r="B5" t="s" s="35">
        <v>26</v>
      </c>
      <c r="C5" t="s" s="36">
        <v>27</v>
      </c>
      <c r="D5" t="s" s="36">
        <v>28</v>
      </c>
      <c r="E5" s="31"/>
    </row>
    <row r="6" ht="74" customHeight="1">
      <c r="A6" s="37"/>
      <c r="B6" t="s" s="38">
        <v>29</v>
      </c>
      <c r="C6" t="s" s="39">
        <v>30</v>
      </c>
      <c r="D6" t="s" s="39">
        <v>31</v>
      </c>
      <c r="E6" s="31"/>
    </row>
    <row r="7" ht="52" customHeight="1">
      <c r="A7" s="37"/>
      <c r="B7" t="s" s="38">
        <v>32</v>
      </c>
      <c r="C7" t="s" s="40">
        <v>33</v>
      </c>
      <c r="D7" t="s" s="39">
        <v>34</v>
      </c>
      <c r="E7" s="31"/>
    </row>
    <row r="8" ht="19" customHeight="1">
      <c r="A8" s="37"/>
      <c r="B8" s="41"/>
      <c r="C8" s="42"/>
      <c r="D8" s="42"/>
      <c r="E8" s="31"/>
    </row>
    <row r="9" ht="61" customHeight="1">
      <c r="A9" t="s" s="43">
        <v>35</v>
      </c>
      <c r="B9" t="s" s="38">
        <v>36</v>
      </c>
      <c r="C9" s="44"/>
      <c r="D9" s="44"/>
      <c r="E9" s="31"/>
    </row>
    <row r="10" ht="19" customHeight="1">
      <c r="A10" s="37"/>
      <c r="B10" s="41"/>
      <c r="C10" s="42"/>
      <c r="D10" s="42"/>
      <c r="E10" s="31"/>
    </row>
    <row r="11" ht="19" customHeight="1">
      <c r="A11" s="37"/>
      <c r="B11" s="41"/>
      <c r="C11" s="42"/>
      <c r="D11" s="42"/>
      <c r="E11" s="31"/>
    </row>
    <row r="12" ht="19" customHeight="1">
      <c r="A12" s="37"/>
      <c r="B12" s="41"/>
      <c r="C12" s="42"/>
      <c r="D12" s="42"/>
      <c r="E12" s="31"/>
    </row>
    <row r="13" ht="19" customHeight="1">
      <c r="A13" s="37"/>
      <c r="B13" s="41"/>
      <c r="C13" s="42"/>
      <c r="D13" s="42"/>
      <c r="E13" s="31"/>
    </row>
    <row r="14" ht="19" customHeight="1">
      <c r="A14" s="37"/>
      <c r="B14" s="41"/>
      <c r="C14" s="42"/>
      <c r="D14" s="42"/>
      <c r="E14" s="45"/>
    </row>
  </sheetData>
  <mergeCells count="4">
    <mergeCell ref="A1:D1"/>
    <mergeCell ref="A2:D2"/>
    <mergeCell ref="B3:D3"/>
    <mergeCell ref="B9:D9"/>
  </mergeCells>
  <hyperlinks>
    <hyperlink ref="B5" location="'1. Inventaire des actifs - Inve'!R1C1" tooltip="" display="1. Inventaire des actifs"/>
    <hyperlink ref="B6" location="'2. Grille de Scoring - Grille d'!R1C1" tooltip="" display="2. Grille de scoring"/>
    <hyperlink ref="B7" location="'3. Mapping des risques - Mappin'!R1C1" tooltip="" display="3. Mapping des risqu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I28"/>
  <sheetViews>
    <sheetView workbookViewId="0" showGridLines="0" defaultGridColor="1"/>
  </sheetViews>
  <sheetFormatPr defaultColWidth="16.3333" defaultRowHeight="19.9" customHeight="1" outlineLevelRow="0" outlineLevelCol="0"/>
  <cols>
    <col min="1" max="1" width="6.5" style="46" customWidth="1"/>
    <col min="2" max="9" width="16.3516" style="46" customWidth="1"/>
    <col min="10" max="16384" width="16.3516" style="46" customWidth="1"/>
  </cols>
  <sheetData>
    <row r="1" ht="27.6" customHeight="1">
      <c r="A1" t="s" s="47">
        <v>10</v>
      </c>
      <c r="B1" s="48"/>
      <c r="C1" s="48"/>
      <c r="D1" s="48"/>
      <c r="E1" s="48"/>
      <c r="F1" s="48"/>
      <c r="G1" s="48"/>
      <c r="H1" s="48"/>
      <c r="I1" s="49"/>
    </row>
    <row r="2" ht="30.2" customHeight="1">
      <c r="A2" t="s" s="33">
        <v>38</v>
      </c>
      <c r="B2" t="s" s="33">
        <v>39</v>
      </c>
      <c r="C2" t="s" s="33">
        <v>40</v>
      </c>
      <c r="D2" t="s" s="33">
        <v>41</v>
      </c>
      <c r="E2" t="s" s="33">
        <v>42</v>
      </c>
      <c r="F2" t="s" s="33">
        <v>43</v>
      </c>
      <c r="G2" t="s" s="33">
        <v>44</v>
      </c>
      <c r="H2" t="s" s="33">
        <v>45</v>
      </c>
      <c r="I2" t="s" s="33">
        <v>46</v>
      </c>
    </row>
    <row r="3" ht="85.2" customHeight="1">
      <c r="A3" t="s" s="50">
        <v>47</v>
      </c>
      <c r="B3" t="s" s="51">
        <v>48</v>
      </c>
      <c r="C3" t="s" s="52">
        <v>49</v>
      </c>
      <c r="D3" t="s" s="53">
        <v>50</v>
      </c>
      <c r="E3" t="s" s="53">
        <v>51</v>
      </c>
      <c r="F3" t="s" s="53">
        <v>52</v>
      </c>
      <c r="G3" t="s" s="53">
        <v>53</v>
      </c>
      <c r="H3" t="s" s="53">
        <v>53</v>
      </c>
      <c r="I3" t="s" s="54">
        <v>54</v>
      </c>
    </row>
    <row r="4" ht="19" customHeight="1">
      <c r="A4" s="55">
        <v>1</v>
      </c>
      <c r="B4" t="s" s="56">
        <v>55</v>
      </c>
      <c r="C4" s="57"/>
      <c r="D4" s="58"/>
      <c r="E4" s="58"/>
      <c r="F4" s="58"/>
      <c r="G4" s="58"/>
      <c r="H4" s="58"/>
      <c r="I4" s="59" cm="1">
        <f t="array" ref="I4">G4*H4</f>
        <v>0</v>
      </c>
    </row>
    <row r="5" ht="30" customHeight="1">
      <c r="A5" s="60">
        <v>2</v>
      </c>
      <c r="B5" t="s" s="43">
        <v>56</v>
      </c>
      <c r="C5" t="s" s="38">
        <v>57</v>
      </c>
      <c r="D5" t="s" s="39">
        <v>58</v>
      </c>
      <c r="E5" t="s" s="39">
        <v>59</v>
      </c>
      <c r="F5" t="s" s="39">
        <v>60</v>
      </c>
      <c r="G5" s="61">
        <v>3</v>
      </c>
      <c r="H5" s="61">
        <v>2</v>
      </c>
      <c r="I5" s="62" cm="1">
        <f t="array" ref="I5">G5*H5</f>
        <v>6</v>
      </c>
    </row>
    <row r="6" ht="30" customHeight="1">
      <c r="A6" s="60">
        <v>3</v>
      </c>
      <c r="B6" t="s" s="43">
        <v>61</v>
      </c>
      <c r="C6" t="s" s="38">
        <v>57</v>
      </c>
      <c r="D6" t="s" s="39">
        <v>58</v>
      </c>
      <c r="E6" t="s" s="39">
        <v>59</v>
      </c>
      <c r="F6" t="s" s="39">
        <v>60</v>
      </c>
      <c r="G6" s="61">
        <v>3</v>
      </c>
      <c r="H6" s="61">
        <v>2</v>
      </c>
      <c r="I6" s="62" cm="1">
        <f t="array" ref="I6">G6*H6</f>
        <v>6</v>
      </c>
    </row>
    <row r="7" ht="30" customHeight="1">
      <c r="A7" s="60">
        <v>4</v>
      </c>
      <c r="B7" t="s" s="43">
        <v>62</v>
      </c>
      <c r="C7" t="s" s="38">
        <v>57</v>
      </c>
      <c r="D7" t="s" s="39">
        <v>58</v>
      </c>
      <c r="E7" t="s" s="39">
        <v>63</v>
      </c>
      <c r="F7" t="s" s="39">
        <v>64</v>
      </c>
      <c r="G7" s="61">
        <v>3</v>
      </c>
      <c r="H7" s="61">
        <v>1</v>
      </c>
      <c r="I7" s="62" cm="1">
        <f t="array" ref="I7">G7*H7</f>
        <v>3</v>
      </c>
    </row>
    <row r="8" ht="30" customHeight="1">
      <c r="A8" s="60">
        <v>5</v>
      </c>
      <c r="B8" t="s" s="43">
        <v>65</v>
      </c>
      <c r="C8" t="s" s="38">
        <v>66</v>
      </c>
      <c r="D8" t="s" s="39">
        <v>67</v>
      </c>
      <c r="E8" t="s" s="39">
        <v>59</v>
      </c>
      <c r="F8" t="s" s="39">
        <v>68</v>
      </c>
      <c r="G8" s="61">
        <v>3</v>
      </c>
      <c r="H8" s="61">
        <v>2</v>
      </c>
      <c r="I8" s="62" cm="1">
        <f t="array" ref="I8">G8*H8</f>
        <v>6</v>
      </c>
    </row>
    <row r="9" ht="19" customHeight="1">
      <c r="A9" s="60">
        <v>6</v>
      </c>
      <c r="B9" t="s" s="43">
        <v>69</v>
      </c>
      <c r="C9" t="s" s="38">
        <v>66</v>
      </c>
      <c r="D9" t="s" s="39">
        <v>70</v>
      </c>
      <c r="E9" t="s" s="39">
        <v>59</v>
      </c>
      <c r="F9" t="s" s="39">
        <v>71</v>
      </c>
      <c r="G9" s="61">
        <v>3</v>
      </c>
      <c r="H9" s="61">
        <v>2</v>
      </c>
      <c r="I9" s="62" cm="1">
        <f t="array" ref="I9">G9*H9</f>
        <v>6</v>
      </c>
    </row>
    <row r="10" ht="41" customHeight="1">
      <c r="A10" s="60">
        <v>7</v>
      </c>
      <c r="B10" t="s" s="43">
        <v>72</v>
      </c>
      <c r="C10" t="s" s="38">
        <v>66</v>
      </c>
      <c r="D10" t="s" s="39">
        <v>70</v>
      </c>
      <c r="E10" t="s" s="39">
        <v>59</v>
      </c>
      <c r="F10" t="s" s="39">
        <v>73</v>
      </c>
      <c r="G10" s="61">
        <v>2</v>
      </c>
      <c r="H10" s="61">
        <v>2</v>
      </c>
      <c r="I10" s="62" cm="1">
        <f t="array" ref="I10">G10*H10</f>
        <v>4</v>
      </c>
    </row>
    <row r="11" ht="30" customHeight="1">
      <c r="A11" s="60">
        <v>8</v>
      </c>
      <c r="B11" t="s" s="43">
        <v>74</v>
      </c>
      <c r="C11" t="s" s="38">
        <v>66</v>
      </c>
      <c r="D11" t="s" s="39">
        <v>70</v>
      </c>
      <c r="E11" t="s" s="39">
        <v>75</v>
      </c>
      <c r="F11" t="s" s="39">
        <v>76</v>
      </c>
      <c r="G11" s="61">
        <v>3</v>
      </c>
      <c r="H11" s="61">
        <v>2</v>
      </c>
      <c r="I11" s="62" cm="1">
        <f t="array" ref="I11">G11*H11</f>
        <v>6</v>
      </c>
    </row>
    <row r="12" ht="30" customHeight="1">
      <c r="A12" s="60">
        <v>9</v>
      </c>
      <c r="B12" t="s" s="43">
        <v>77</v>
      </c>
      <c r="C12" t="s" s="38">
        <v>66</v>
      </c>
      <c r="D12" t="s" s="39">
        <v>70</v>
      </c>
      <c r="E12" t="s" s="39">
        <v>75</v>
      </c>
      <c r="F12" t="s" s="39">
        <v>78</v>
      </c>
      <c r="G12" s="61">
        <v>3</v>
      </c>
      <c r="H12" s="61">
        <v>1</v>
      </c>
      <c r="I12" s="62" cm="1">
        <f t="array" ref="I12">G12*H12</f>
        <v>3</v>
      </c>
    </row>
    <row r="13" ht="19" customHeight="1">
      <c r="A13" s="60">
        <v>10</v>
      </c>
      <c r="B13" t="s" s="43">
        <v>79</v>
      </c>
      <c r="C13" t="s" s="38">
        <v>66</v>
      </c>
      <c r="D13" t="s" s="39">
        <v>80</v>
      </c>
      <c r="E13" t="s" s="39">
        <v>75</v>
      </c>
      <c r="F13" t="s" s="39">
        <v>81</v>
      </c>
      <c r="G13" s="61">
        <v>2</v>
      </c>
      <c r="H13" s="61">
        <v>1</v>
      </c>
      <c r="I13" s="62" cm="1">
        <f t="array" ref="I13">G13*H13</f>
        <v>2</v>
      </c>
    </row>
    <row r="14" ht="19" customHeight="1">
      <c r="A14" s="60">
        <v>11</v>
      </c>
      <c r="B14" t="s" s="43">
        <v>82</v>
      </c>
      <c r="C14" t="s" s="38">
        <v>66</v>
      </c>
      <c r="D14" t="s" s="39">
        <v>80</v>
      </c>
      <c r="E14" t="s" s="39">
        <v>75</v>
      </c>
      <c r="F14" t="s" s="39">
        <v>81</v>
      </c>
      <c r="G14" s="61">
        <v>1</v>
      </c>
      <c r="H14" s="61">
        <v>1</v>
      </c>
      <c r="I14" s="62" cm="1">
        <f t="array" ref="I14">G14*H14</f>
        <v>1</v>
      </c>
    </row>
    <row r="15" ht="30" customHeight="1">
      <c r="A15" s="60">
        <v>12</v>
      </c>
      <c r="B15" t="s" s="43">
        <v>83</v>
      </c>
      <c r="C15" t="s" s="38">
        <v>66</v>
      </c>
      <c r="D15" t="s" s="39">
        <v>80</v>
      </c>
      <c r="E15" t="s" s="39">
        <v>75</v>
      </c>
      <c r="F15" t="s" s="39">
        <v>81</v>
      </c>
      <c r="G15" s="61">
        <v>1</v>
      </c>
      <c r="H15" s="61">
        <v>1</v>
      </c>
      <c r="I15" s="62" cm="1">
        <f t="array" ref="I15">G15*H15</f>
        <v>1</v>
      </c>
    </row>
    <row r="16" ht="30" customHeight="1">
      <c r="A16" s="60">
        <v>13</v>
      </c>
      <c r="B16" t="s" s="43">
        <v>84</v>
      </c>
      <c r="C16" t="s" s="38">
        <v>66</v>
      </c>
      <c r="D16" t="s" s="39">
        <v>80</v>
      </c>
      <c r="E16" t="s" s="39">
        <v>75</v>
      </c>
      <c r="F16" t="s" s="39">
        <v>81</v>
      </c>
      <c r="G16" s="61">
        <v>1</v>
      </c>
      <c r="H16" s="61">
        <v>1</v>
      </c>
      <c r="I16" s="62" cm="1">
        <f t="array" ref="I16">G16*H16</f>
        <v>1</v>
      </c>
    </row>
    <row r="17" ht="41" customHeight="1">
      <c r="A17" s="60">
        <v>14</v>
      </c>
      <c r="B17" t="s" s="43">
        <v>85</v>
      </c>
      <c r="C17" t="s" s="38">
        <v>86</v>
      </c>
      <c r="D17" t="s" s="39">
        <v>87</v>
      </c>
      <c r="E17" t="s" s="39">
        <v>59</v>
      </c>
      <c r="F17" t="s" s="39">
        <v>88</v>
      </c>
      <c r="G17" s="61">
        <v>3</v>
      </c>
      <c r="H17" s="61">
        <v>2</v>
      </c>
      <c r="I17" s="62" cm="1">
        <f t="array" ref="I17">G17*H17</f>
        <v>6</v>
      </c>
    </row>
    <row r="18" ht="30" customHeight="1">
      <c r="A18" s="60">
        <v>15</v>
      </c>
      <c r="B18" t="s" s="43">
        <v>89</v>
      </c>
      <c r="C18" t="s" s="38">
        <v>86</v>
      </c>
      <c r="D18" t="s" s="39">
        <v>87</v>
      </c>
      <c r="E18" t="s" s="39">
        <v>59</v>
      </c>
      <c r="F18" t="s" s="39">
        <v>90</v>
      </c>
      <c r="G18" s="61">
        <v>3</v>
      </c>
      <c r="H18" s="61">
        <v>2</v>
      </c>
      <c r="I18" s="62" cm="1">
        <f t="array" ref="I18">G18*H18</f>
        <v>6</v>
      </c>
    </row>
    <row r="19" ht="30" customHeight="1">
      <c r="A19" s="60">
        <v>16</v>
      </c>
      <c r="B19" t="s" s="43">
        <v>91</v>
      </c>
      <c r="C19" t="s" s="38">
        <v>86</v>
      </c>
      <c r="D19" t="s" s="39">
        <v>87</v>
      </c>
      <c r="E19" t="s" s="39">
        <v>59</v>
      </c>
      <c r="F19" t="s" s="39">
        <v>92</v>
      </c>
      <c r="G19" s="61">
        <v>3</v>
      </c>
      <c r="H19" s="61">
        <v>2</v>
      </c>
      <c r="I19" s="62" cm="1">
        <f t="array" ref="I19">G19*H19</f>
        <v>6</v>
      </c>
    </row>
    <row r="20" ht="30" customHeight="1">
      <c r="A20" s="60">
        <v>17</v>
      </c>
      <c r="B20" t="s" s="43">
        <v>93</v>
      </c>
      <c r="C20" t="s" s="38">
        <v>86</v>
      </c>
      <c r="D20" t="s" s="39">
        <v>87</v>
      </c>
      <c r="E20" t="s" s="39">
        <v>63</v>
      </c>
      <c r="F20" t="s" s="39">
        <v>62</v>
      </c>
      <c r="G20" s="61">
        <v>1</v>
      </c>
      <c r="H20" s="61">
        <v>1</v>
      </c>
      <c r="I20" s="62" cm="1">
        <f t="array" ref="I20">G20*H20</f>
        <v>1</v>
      </c>
    </row>
    <row r="21" ht="30" customHeight="1">
      <c r="A21" s="60">
        <v>18</v>
      </c>
      <c r="B21" t="s" s="43">
        <v>94</v>
      </c>
      <c r="C21" t="s" s="38">
        <v>95</v>
      </c>
      <c r="D21" t="s" s="39">
        <v>96</v>
      </c>
      <c r="E21" t="s" s="39">
        <v>75</v>
      </c>
      <c r="F21" t="s" s="39">
        <v>97</v>
      </c>
      <c r="G21" s="61">
        <v>3</v>
      </c>
      <c r="H21" s="61">
        <v>1</v>
      </c>
      <c r="I21" s="62" cm="1">
        <f t="array" ref="I21">G21*H21</f>
        <v>3</v>
      </c>
    </row>
    <row r="22" ht="19" customHeight="1">
      <c r="A22" s="60">
        <v>19</v>
      </c>
      <c r="B22" t="s" s="43">
        <v>67</v>
      </c>
      <c r="C22" t="s" s="38">
        <v>95</v>
      </c>
      <c r="D22" t="s" s="39">
        <v>96</v>
      </c>
      <c r="E22" t="s" s="39">
        <v>75</v>
      </c>
      <c r="F22" t="s" s="39">
        <v>98</v>
      </c>
      <c r="G22" s="61">
        <v>3</v>
      </c>
      <c r="H22" s="61">
        <v>1</v>
      </c>
      <c r="I22" s="62" cm="1">
        <f t="array" ref="I22">G22*H22</f>
        <v>3</v>
      </c>
    </row>
    <row r="23" ht="19" customHeight="1">
      <c r="A23" s="60">
        <v>20</v>
      </c>
      <c r="B23" t="s" s="43">
        <v>87</v>
      </c>
      <c r="C23" t="s" s="38">
        <v>95</v>
      </c>
      <c r="D23" t="s" s="39">
        <v>96</v>
      </c>
      <c r="E23" t="s" s="39">
        <v>75</v>
      </c>
      <c r="F23" t="s" s="39">
        <v>99</v>
      </c>
      <c r="G23" s="61">
        <v>2</v>
      </c>
      <c r="H23" s="61">
        <v>1</v>
      </c>
      <c r="I23" s="62" cm="1">
        <f t="array" ref="I23">G23*H23</f>
        <v>2</v>
      </c>
    </row>
    <row r="24" ht="30" customHeight="1">
      <c r="A24" s="60">
        <v>21</v>
      </c>
      <c r="B24" t="s" s="43">
        <v>58</v>
      </c>
      <c r="C24" t="s" s="38">
        <v>95</v>
      </c>
      <c r="D24" t="s" s="39">
        <v>96</v>
      </c>
      <c r="E24" t="s" s="39">
        <v>75</v>
      </c>
      <c r="F24" t="s" s="39">
        <v>100</v>
      </c>
      <c r="G24" s="61">
        <v>2</v>
      </c>
      <c r="H24" s="61">
        <v>1</v>
      </c>
      <c r="I24" s="62" cm="1">
        <f t="array" ref="I24">G24*H24</f>
        <v>2</v>
      </c>
    </row>
    <row r="25" ht="30" customHeight="1">
      <c r="A25" s="60">
        <v>22</v>
      </c>
      <c r="B25" t="s" s="43">
        <v>70</v>
      </c>
      <c r="C25" t="s" s="38">
        <v>95</v>
      </c>
      <c r="D25" t="s" s="39">
        <v>67</v>
      </c>
      <c r="E25" t="s" s="39">
        <v>75</v>
      </c>
      <c r="F25" t="s" s="39">
        <v>101</v>
      </c>
      <c r="G25" s="61">
        <v>2</v>
      </c>
      <c r="H25" s="61">
        <v>1</v>
      </c>
      <c r="I25" s="62" cm="1">
        <f t="array" ref="I25">G25*H25</f>
        <v>2</v>
      </c>
    </row>
    <row r="26" ht="19" customHeight="1">
      <c r="A26" s="60">
        <v>23</v>
      </c>
      <c r="B26" t="s" s="43">
        <v>102</v>
      </c>
      <c r="C26" t="s" s="38">
        <v>95</v>
      </c>
      <c r="D26" t="s" s="39">
        <v>80</v>
      </c>
      <c r="E26" t="s" s="39">
        <v>75</v>
      </c>
      <c r="F26" t="s" s="39">
        <v>103</v>
      </c>
      <c r="G26" s="62">
        <v>1</v>
      </c>
      <c r="H26" s="62">
        <v>1</v>
      </c>
      <c r="I26" s="62" cm="1">
        <f t="array" ref="I26">G26*H26</f>
        <v>1</v>
      </c>
    </row>
    <row r="27" ht="30" customHeight="1">
      <c r="A27" s="60">
        <v>24</v>
      </c>
      <c r="B27" t="s" s="43">
        <v>104</v>
      </c>
      <c r="C27" t="s" s="38">
        <v>95</v>
      </c>
      <c r="D27" t="s" s="39">
        <v>58</v>
      </c>
      <c r="E27" t="s" s="39">
        <v>59</v>
      </c>
      <c r="F27" t="s" s="39">
        <v>105</v>
      </c>
      <c r="G27" s="62">
        <v>3</v>
      </c>
      <c r="H27" s="62">
        <v>1</v>
      </c>
      <c r="I27" s="62" cm="1">
        <f t="array" ref="I27">G27*H27</f>
        <v>3</v>
      </c>
    </row>
    <row r="28" ht="30" customHeight="1">
      <c r="A28" s="60">
        <v>25</v>
      </c>
      <c r="B28" t="s" s="43">
        <v>106</v>
      </c>
      <c r="C28" t="s" s="38">
        <v>95</v>
      </c>
      <c r="D28" t="s" s="39">
        <v>58</v>
      </c>
      <c r="E28" t="s" s="39">
        <v>63</v>
      </c>
      <c r="F28" t="s" s="39">
        <v>62</v>
      </c>
      <c r="G28" s="62">
        <v>2</v>
      </c>
      <c r="H28" s="62">
        <v>1</v>
      </c>
      <c r="I28" s="62" cm="1">
        <f t="array" ref="I28">G28*H28</f>
        <v>2</v>
      </c>
    </row>
  </sheetData>
  <mergeCells count="1">
    <mergeCell ref="A1:I1"/>
  </mergeCells>
  <conditionalFormatting sqref="I5:I28">
    <cfRule type="cellIs" dxfId="0" priority="1" operator="between" stopIfTrue="1">
      <formula>1</formula>
      <formula>2</formula>
    </cfRule>
    <cfRule type="cellIs" dxfId="1" priority="2" operator="between" stopIfTrue="1">
      <formula>3</formula>
      <formula>5</formula>
    </cfRule>
    <cfRule type="cellIs" dxfId="2" priority="3" operator="between" stopIfTrue="1">
      <formula>6</formula>
      <formula>9</formula>
    </cfRule>
  </conditionalFormatting>
  <hyperlinks>
    <hyperlink ref="G3" location="'2. Grille de Scoring - Grille d'!R1C1" tooltip="" display="1: faible&#10;2: moyen&#10;3: critique&#10;Déf: 2. Grille de Scoring"/>
    <hyperlink ref="H3" location="'2. Grille de Scoring - Grille d'!R1C1" tooltip="" display="1: faible&#10;2: moyen&#10;3: critique&#10;Déf: 2. Grille de Scoring"/>
    <hyperlink ref="I3" location="'2. Grille de Scoring - Grille d'!R1C1" tooltip="" display="- 1–2: acceptable &#10;- 3–5: remédiation sous 3 mois &#10;- 6–9: correction dans la semaine&#10;Déf: 2. Grille de Scorin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5"/>
  <sheetViews>
    <sheetView workbookViewId="0" showGridLines="0" defaultGridColor="1"/>
  </sheetViews>
  <sheetFormatPr defaultColWidth="16.3333" defaultRowHeight="19.9" customHeight="1" outlineLevelRow="0" outlineLevelCol="0"/>
  <cols>
    <col min="1" max="1" width="16.3516" style="63" customWidth="1"/>
    <col min="2" max="2" width="30.1719" style="63" customWidth="1"/>
    <col min="3" max="3" width="49" style="63" customWidth="1"/>
    <col min="4" max="4" width="36.1719" style="63" customWidth="1"/>
    <col min="5" max="5" width="16.3516" style="63" customWidth="1"/>
    <col min="6" max="16384" width="16.3516" style="63" customWidth="1"/>
  </cols>
  <sheetData>
    <row r="1" ht="27.6" customHeight="1">
      <c r="A1" t="s" s="64">
        <v>13</v>
      </c>
      <c r="B1" s="65"/>
      <c r="C1" s="65"/>
      <c r="D1" s="65"/>
      <c r="E1" s="28"/>
    </row>
    <row r="2" ht="20.3" customHeight="1">
      <c r="A2" t="s" s="66">
        <v>108</v>
      </c>
      <c r="B2" s="67"/>
      <c r="C2" s="67"/>
      <c r="D2" s="68"/>
      <c r="E2" s="69"/>
    </row>
    <row r="3" ht="19.2" customHeight="1">
      <c r="A3" t="s" s="70">
        <v>109</v>
      </c>
      <c r="B3" t="s" s="33">
        <v>110</v>
      </c>
      <c r="C3" t="s" s="33">
        <v>111</v>
      </c>
      <c r="D3" t="s" s="71">
        <v>112</v>
      </c>
      <c r="E3" s="69"/>
    </row>
    <row r="4" ht="19.2" customHeight="1">
      <c r="A4" s="72">
        <v>1</v>
      </c>
      <c r="B4" t="s" s="73">
        <v>113</v>
      </c>
      <c r="C4" t="s" s="36">
        <v>114</v>
      </c>
      <c r="D4" t="s" s="74">
        <v>115</v>
      </c>
      <c r="E4" s="69"/>
    </row>
    <row r="5" ht="19" customHeight="1">
      <c r="A5" s="75">
        <v>2</v>
      </c>
      <c r="B5" t="s" s="76">
        <v>116</v>
      </c>
      <c r="C5" t="s" s="39">
        <v>117</v>
      </c>
      <c r="D5" t="s" s="77">
        <v>118</v>
      </c>
      <c r="E5" s="69"/>
    </row>
    <row r="6" ht="19.3" customHeight="1">
      <c r="A6" s="78">
        <v>3</v>
      </c>
      <c r="B6" t="s" s="79">
        <v>119</v>
      </c>
      <c r="C6" t="s" s="80">
        <v>120</v>
      </c>
      <c r="D6" t="s" s="81">
        <v>121</v>
      </c>
      <c r="E6" s="69"/>
    </row>
    <row r="7" ht="19.65" customHeight="1">
      <c r="A7" s="82"/>
      <c r="B7" s="83"/>
      <c r="C7" s="84"/>
      <c r="D7" s="84"/>
      <c r="E7" s="31"/>
    </row>
    <row r="8" ht="20.3" customHeight="1">
      <c r="A8" s="85"/>
      <c r="B8" t="s" s="86">
        <v>122</v>
      </c>
      <c r="C8" s="87"/>
      <c r="D8" s="88"/>
      <c r="E8" s="69"/>
    </row>
    <row r="9" ht="19" customHeight="1">
      <c r="A9" t="s" s="89">
        <v>109</v>
      </c>
      <c r="B9" t="s" s="90">
        <v>110</v>
      </c>
      <c r="C9" t="s" s="32">
        <v>123</v>
      </c>
      <c r="D9" t="s" s="91">
        <v>112</v>
      </c>
      <c r="E9" s="69"/>
    </row>
    <row r="10" ht="19" customHeight="1">
      <c r="A10" s="75">
        <v>1</v>
      </c>
      <c r="B10" t="s" s="76">
        <v>113</v>
      </c>
      <c r="C10" t="s" s="39">
        <v>124</v>
      </c>
      <c r="D10" t="s" s="77">
        <v>125</v>
      </c>
      <c r="E10" s="69"/>
    </row>
    <row r="11" ht="19" customHeight="1">
      <c r="A11" s="75">
        <v>2</v>
      </c>
      <c r="B11" t="s" s="76">
        <v>126</v>
      </c>
      <c r="C11" t="s" s="39">
        <v>127</v>
      </c>
      <c r="D11" t="s" s="77">
        <v>128</v>
      </c>
      <c r="E11" s="69"/>
    </row>
    <row r="12" ht="19.3" customHeight="1">
      <c r="A12" s="78">
        <v>3</v>
      </c>
      <c r="B12" t="s" s="79">
        <v>129</v>
      </c>
      <c r="C12" t="s" s="80">
        <v>130</v>
      </c>
      <c r="D12" t="s" s="81">
        <v>131</v>
      </c>
      <c r="E12" s="69"/>
    </row>
    <row r="13" ht="19.65" customHeight="1">
      <c r="A13" s="92"/>
      <c r="B13" s="83"/>
      <c r="C13" s="84"/>
      <c r="D13" s="84"/>
      <c r="E13" s="31"/>
    </row>
    <row r="14" ht="20.3" customHeight="1">
      <c r="A14" s="85"/>
      <c r="B14" t="s" s="93">
        <v>132</v>
      </c>
      <c r="C14" s="87"/>
      <c r="D14" s="88"/>
      <c r="E14" s="69"/>
    </row>
    <row r="15" ht="19" customHeight="1">
      <c r="A15" s="94"/>
      <c r="B15" t="s" s="95">
        <v>133</v>
      </c>
      <c r="C15" s="44"/>
      <c r="D15" s="96"/>
      <c r="E15" s="69"/>
    </row>
    <row r="16" ht="19" customHeight="1">
      <c r="A16" t="s" s="89">
        <v>110</v>
      </c>
      <c r="B16" t="s" s="90">
        <v>109</v>
      </c>
      <c r="C16" t="s" s="32">
        <v>134</v>
      </c>
      <c r="D16" s="97"/>
      <c r="E16" s="69"/>
    </row>
    <row r="17" ht="19" customHeight="1">
      <c r="A17" t="s" s="98">
        <v>113</v>
      </c>
      <c r="B17" t="s" s="76">
        <v>135</v>
      </c>
      <c r="C17" t="s" s="39">
        <v>136</v>
      </c>
      <c r="D17" s="99"/>
      <c r="E17" s="69"/>
    </row>
    <row r="18" ht="19" customHeight="1">
      <c r="A18" t="s" s="100">
        <v>116</v>
      </c>
      <c r="B18" t="s" s="76">
        <v>137</v>
      </c>
      <c r="C18" t="s" s="39">
        <v>138</v>
      </c>
      <c r="D18" s="99"/>
      <c r="E18" s="69"/>
    </row>
    <row r="19" ht="19" customHeight="1">
      <c r="A19" t="s" s="101">
        <v>139</v>
      </c>
      <c r="B19" t="s" s="76">
        <v>140</v>
      </c>
      <c r="C19" t="s" s="39">
        <v>141</v>
      </c>
      <c r="D19" s="99"/>
      <c r="E19" s="69"/>
    </row>
    <row r="20" ht="19" customHeight="1">
      <c r="A20" s="102"/>
      <c r="B20" t="s" s="95">
        <v>142</v>
      </c>
      <c r="C20" s="44"/>
      <c r="D20" s="96"/>
      <c r="E20" s="69"/>
    </row>
    <row r="21" ht="19" customHeight="1">
      <c r="A21" t="s" s="89">
        <v>143</v>
      </c>
      <c r="B21" t="s" s="90">
        <v>111</v>
      </c>
      <c r="C21" t="s" s="32">
        <v>144</v>
      </c>
      <c r="D21" t="s" s="91">
        <v>112</v>
      </c>
      <c r="E21" s="69"/>
    </row>
    <row r="22" ht="19" customHeight="1">
      <c r="A22" t="s" s="103">
        <v>145</v>
      </c>
      <c r="B22" t="s" s="76">
        <v>146</v>
      </c>
      <c r="C22" t="s" s="39">
        <v>147</v>
      </c>
      <c r="D22" t="s" s="77">
        <v>148</v>
      </c>
      <c r="E22" s="69"/>
    </row>
    <row r="23" ht="20.05" customHeight="1">
      <c r="A23" t="s" s="104">
        <v>149</v>
      </c>
      <c r="B23" t="s" s="105">
        <v>150</v>
      </c>
      <c r="C23" t="s" s="40">
        <v>151</v>
      </c>
      <c r="D23" t="s" s="106">
        <v>152</v>
      </c>
      <c r="E23" s="69"/>
    </row>
    <row r="24" ht="23.85" customHeight="1">
      <c r="A24" t="s" s="104">
        <v>153</v>
      </c>
      <c r="B24" t="s" s="105">
        <v>154</v>
      </c>
      <c r="C24" t="s" s="40">
        <v>155</v>
      </c>
      <c r="D24" t="s" s="106">
        <v>156</v>
      </c>
      <c r="E24" s="69"/>
    </row>
    <row r="25" ht="32.35" customHeight="1">
      <c r="A25" t="s" s="107">
        <v>157</v>
      </c>
      <c r="B25" t="s" s="108">
        <v>158</v>
      </c>
      <c r="C25" t="s" s="109">
        <v>159</v>
      </c>
      <c r="D25" t="s" s="110">
        <v>160</v>
      </c>
      <c r="E25" s="111"/>
    </row>
  </sheetData>
  <mergeCells count="6">
    <mergeCell ref="A1:D1"/>
    <mergeCell ref="A2:D2"/>
    <mergeCell ref="B8:D8"/>
    <mergeCell ref="B14:D14"/>
    <mergeCell ref="B15:D15"/>
    <mergeCell ref="B20:D20"/>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18"/>
  <sheetViews>
    <sheetView workbookViewId="0" showGridLines="0" defaultGridColor="1"/>
  </sheetViews>
  <sheetFormatPr defaultColWidth="16.3333" defaultRowHeight="19.9" customHeight="1" outlineLevelRow="0" outlineLevelCol="0"/>
  <cols>
    <col min="1" max="1" width="7.85156" style="112" customWidth="1"/>
    <col min="2" max="2" width="16.3516" style="112" customWidth="1"/>
    <col min="3" max="3" width="12.1719" style="112" customWidth="1"/>
    <col min="4" max="4" width="27.5" style="112" customWidth="1"/>
    <col min="5" max="5" width="23.5" style="112" customWidth="1"/>
    <col min="6" max="6" width="30.5" style="112" customWidth="1"/>
    <col min="7" max="8" width="16.3516" style="112" customWidth="1"/>
    <col min="9" max="16384" width="16.3516" style="112" customWidth="1"/>
  </cols>
  <sheetData>
    <row r="1" ht="28.65" customHeight="1">
      <c r="A1" t="s" s="26">
        <v>16</v>
      </c>
      <c r="B1" s="27"/>
      <c r="C1" s="27"/>
      <c r="D1" s="27"/>
      <c r="E1" s="27"/>
      <c r="F1" s="27"/>
      <c r="G1" s="27"/>
      <c r="H1" s="113"/>
    </row>
    <row r="2" ht="44.25" customHeight="1">
      <c r="A2" t="s" s="114">
        <v>162</v>
      </c>
      <c r="B2" t="s" s="114">
        <v>163</v>
      </c>
      <c r="C2" t="s" s="114">
        <v>164</v>
      </c>
      <c r="D2" t="s" s="114">
        <v>165</v>
      </c>
      <c r="E2" t="s" s="114">
        <v>166</v>
      </c>
      <c r="F2" t="s" s="114">
        <v>167</v>
      </c>
      <c r="G2" t="s" s="114">
        <v>168</v>
      </c>
      <c r="H2" t="s" s="114">
        <v>169</v>
      </c>
    </row>
    <row r="3" ht="41.25" customHeight="1">
      <c r="A3" t="s" s="50">
        <v>47</v>
      </c>
      <c r="B3" t="s" s="51">
        <v>48</v>
      </c>
      <c r="C3" s="115"/>
      <c r="D3" s="116"/>
      <c r="E3" s="116"/>
      <c r="F3" s="116"/>
      <c r="G3" s="117"/>
      <c r="H3" t="s" s="118">
        <v>170</v>
      </c>
    </row>
    <row r="4" ht="20.05" customHeight="1">
      <c r="A4" s="55">
        <v>1</v>
      </c>
      <c r="B4" t="s" s="56">
        <v>55</v>
      </c>
      <c r="C4" s="119"/>
      <c r="D4" s="44"/>
      <c r="E4" s="44"/>
      <c r="F4" s="44"/>
      <c r="G4" s="44"/>
      <c r="H4" s="44"/>
    </row>
    <row r="5" ht="23.85" customHeight="1">
      <c r="A5" s="120">
        <v>5</v>
      </c>
      <c r="B5" t="s" s="121">
        <v>65</v>
      </c>
      <c r="C5" s="122">
        <v>6</v>
      </c>
      <c r="D5" t="s" s="40">
        <v>171</v>
      </c>
      <c r="E5" t="s" s="40">
        <v>172</v>
      </c>
      <c r="F5" t="s" s="40">
        <v>173</v>
      </c>
      <c r="G5" t="s" s="123">
        <v>153</v>
      </c>
      <c r="H5" s="124">
        <v>2</v>
      </c>
    </row>
    <row r="6" ht="23.85" customHeight="1">
      <c r="A6" s="120">
        <v>5</v>
      </c>
      <c r="B6" t="s" s="121">
        <v>65</v>
      </c>
      <c r="C6" s="122">
        <v>6</v>
      </c>
      <c r="D6" t="s" s="40">
        <v>174</v>
      </c>
      <c r="E6" t="s" s="40">
        <v>175</v>
      </c>
      <c r="F6" t="s" s="40">
        <v>176</v>
      </c>
      <c r="G6" t="s" s="123">
        <v>153</v>
      </c>
      <c r="H6" s="124">
        <v>2</v>
      </c>
    </row>
    <row r="7" ht="32.05" customHeight="1">
      <c r="A7" s="120">
        <v>6</v>
      </c>
      <c r="B7" t="s" s="121">
        <v>69</v>
      </c>
      <c r="C7" s="122">
        <v>6</v>
      </c>
      <c r="D7" t="s" s="40">
        <v>177</v>
      </c>
      <c r="E7" t="s" s="40">
        <v>178</v>
      </c>
      <c r="F7" t="s" s="40">
        <v>179</v>
      </c>
      <c r="G7" t="s" s="123">
        <v>149</v>
      </c>
      <c r="H7" s="124">
        <v>1</v>
      </c>
    </row>
    <row r="8" ht="32.05" customHeight="1">
      <c r="A8" s="120">
        <v>6</v>
      </c>
      <c r="B8" t="s" s="121">
        <v>69</v>
      </c>
      <c r="C8" s="122">
        <v>6</v>
      </c>
      <c r="D8" t="s" s="40">
        <v>180</v>
      </c>
      <c r="E8" t="s" s="40">
        <v>181</v>
      </c>
      <c r="F8" t="s" s="40">
        <v>182</v>
      </c>
      <c r="G8" t="s" s="123">
        <v>149</v>
      </c>
      <c r="H8" s="124">
        <v>1</v>
      </c>
    </row>
    <row r="9" ht="32.05" customHeight="1">
      <c r="A9" s="120">
        <v>8</v>
      </c>
      <c r="B9" t="s" s="121">
        <v>74</v>
      </c>
      <c r="C9" s="122">
        <v>6</v>
      </c>
      <c r="D9" t="s" s="40">
        <v>180</v>
      </c>
      <c r="E9" t="s" s="40">
        <v>183</v>
      </c>
      <c r="F9" t="s" s="40">
        <v>184</v>
      </c>
      <c r="G9" t="s" s="123">
        <v>149</v>
      </c>
      <c r="H9" s="124">
        <v>1</v>
      </c>
    </row>
    <row r="10" ht="32.05" customHeight="1">
      <c r="A10" s="120">
        <v>8</v>
      </c>
      <c r="B10" t="s" s="121">
        <v>74</v>
      </c>
      <c r="C10" s="122">
        <v>6</v>
      </c>
      <c r="D10" t="s" s="40">
        <v>185</v>
      </c>
      <c r="E10" t="s" s="40">
        <v>186</v>
      </c>
      <c r="F10" t="s" s="40">
        <v>184</v>
      </c>
      <c r="G10" t="s" s="123">
        <v>149</v>
      </c>
      <c r="H10" s="124">
        <v>1</v>
      </c>
    </row>
    <row r="11" ht="44.05" customHeight="1">
      <c r="A11" s="120">
        <v>14</v>
      </c>
      <c r="B11" t="s" s="121">
        <v>85</v>
      </c>
      <c r="C11" s="122">
        <v>6</v>
      </c>
      <c r="D11" t="s" s="40">
        <v>180</v>
      </c>
      <c r="E11" t="s" s="40">
        <v>187</v>
      </c>
      <c r="F11" t="s" s="40">
        <v>188</v>
      </c>
      <c r="G11" t="s" s="123">
        <v>149</v>
      </c>
      <c r="H11" s="124">
        <v>2</v>
      </c>
    </row>
    <row r="12" ht="44.05" customHeight="1">
      <c r="A12" s="120">
        <v>14</v>
      </c>
      <c r="B12" t="s" s="121">
        <v>85</v>
      </c>
      <c r="C12" s="122">
        <v>6</v>
      </c>
      <c r="D12" t="s" s="40">
        <v>177</v>
      </c>
      <c r="E12" t="s" s="40">
        <v>189</v>
      </c>
      <c r="F12" t="s" s="40">
        <v>190</v>
      </c>
      <c r="G12" t="s" s="123">
        <v>149</v>
      </c>
      <c r="H12" s="124">
        <v>2</v>
      </c>
    </row>
    <row r="13" ht="32.05" customHeight="1">
      <c r="A13" s="120">
        <v>15</v>
      </c>
      <c r="B13" t="s" s="121">
        <v>89</v>
      </c>
      <c r="C13" s="122">
        <v>6</v>
      </c>
      <c r="D13" t="s" s="40">
        <v>177</v>
      </c>
      <c r="E13" t="s" s="40">
        <v>191</v>
      </c>
      <c r="F13" t="s" s="40">
        <v>192</v>
      </c>
      <c r="G13" t="s" s="123">
        <v>149</v>
      </c>
      <c r="H13" s="124">
        <v>2</v>
      </c>
    </row>
    <row r="14" ht="32.05" customHeight="1">
      <c r="A14" s="120">
        <v>15</v>
      </c>
      <c r="B14" t="s" s="121">
        <v>89</v>
      </c>
      <c r="C14" s="122">
        <v>6</v>
      </c>
      <c r="D14" t="s" s="40">
        <v>193</v>
      </c>
      <c r="E14" t="s" s="40">
        <v>194</v>
      </c>
      <c r="F14" t="s" s="40">
        <v>192</v>
      </c>
      <c r="G14" t="s" s="123">
        <v>149</v>
      </c>
      <c r="H14" s="124">
        <v>2</v>
      </c>
    </row>
    <row r="15" ht="32.05" customHeight="1">
      <c r="A15" s="120">
        <v>16</v>
      </c>
      <c r="B15" t="s" s="121">
        <v>91</v>
      </c>
      <c r="C15" s="122">
        <v>6</v>
      </c>
      <c r="D15" t="s" s="40">
        <v>195</v>
      </c>
      <c r="E15" t="s" s="40">
        <v>196</v>
      </c>
      <c r="F15" t="s" s="40">
        <v>197</v>
      </c>
      <c r="G15" t="s" s="123">
        <v>149</v>
      </c>
      <c r="H15" s="124">
        <v>2</v>
      </c>
    </row>
    <row r="16" ht="32.05" customHeight="1">
      <c r="A16" s="120">
        <v>16</v>
      </c>
      <c r="B16" t="s" s="121">
        <v>91</v>
      </c>
      <c r="C16" s="122">
        <v>6</v>
      </c>
      <c r="D16" t="s" s="40">
        <v>177</v>
      </c>
      <c r="E16" t="s" s="40">
        <v>198</v>
      </c>
      <c r="F16" t="s" s="40">
        <v>199</v>
      </c>
      <c r="G16" t="s" s="123">
        <v>149</v>
      </c>
      <c r="H16" s="124">
        <v>2</v>
      </c>
    </row>
    <row r="17" ht="44.05" customHeight="1">
      <c r="A17" s="120">
        <v>7</v>
      </c>
      <c r="B17" t="s" s="121">
        <v>72</v>
      </c>
      <c r="C17" s="122">
        <v>4</v>
      </c>
      <c r="D17" t="s" s="40">
        <v>200</v>
      </c>
      <c r="E17" t="s" s="40">
        <v>201</v>
      </c>
      <c r="F17" t="s" s="40">
        <v>202</v>
      </c>
      <c r="G17" t="s" s="40">
        <v>203</v>
      </c>
      <c r="H17" s="124">
        <v>3</v>
      </c>
    </row>
    <row r="18" ht="26" customHeight="1">
      <c r="A18" t="s" s="125">
        <v>204</v>
      </c>
      <c r="B18" s="126"/>
      <c r="C18" s="126"/>
      <c r="D18" s="126"/>
      <c r="E18" s="126"/>
      <c r="F18" s="126"/>
      <c r="G18" s="126"/>
      <c r="H18" s="127"/>
    </row>
  </sheetData>
  <mergeCells count="2">
    <mergeCell ref="A1:H1"/>
    <mergeCell ref="A18:H18"/>
  </mergeCells>
  <conditionalFormatting sqref="C2:C17">
    <cfRule type="cellIs" dxfId="3" priority="1" operator="between" stopIfTrue="1">
      <formula>6</formula>
      <formula>9</formula>
    </cfRule>
    <cfRule type="cellIs" dxfId="4" priority="2" operator="between" stopIfTrue="1">
      <formula>3</formula>
      <formula>5</formula>
    </cfRule>
    <cfRule type="cellIs" dxfId="5" priority="3" operator="between" stopIfTrue="1">
      <formula>1</formula>
      <formula>2</formula>
    </cfRule>
  </conditionalFormatting>
  <conditionalFormatting sqref="H2:H17">
    <cfRule type="cellIs" dxfId="6" priority="1" operator="equal" stopIfTrue="1">
      <formula>1</formula>
    </cfRule>
    <cfRule type="cellIs" dxfId="7" priority="2" operator="equal" stopIfTrue="1">
      <formula>2</formula>
    </cfRule>
    <cfRule type="cellIs" dxfId="8" priority="3" operator="equal" stopIfTrue="1">
      <formula>3</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